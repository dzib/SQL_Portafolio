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rchivos\source\repos\dzib\End-to-End_DataPortfolio _Pipelines&amp;Analytics\P2_Escolar\BI_Visualization\"/>
    </mc:Choice>
  </mc:AlternateContent>
  <xr:revisionPtr revIDLastSave="0" documentId="13_ncr:2001_{8D6439D8-B024-4932-A60A-E51A4360D1F0}" xr6:coauthVersionLast="47" xr6:coauthVersionMax="47" xr10:uidLastSave="{00000000-0000-0000-0000-000000000000}"/>
  <bookViews>
    <workbookView xWindow="-105" yWindow="0" windowWidth="18075" windowHeight="15585" activeTab="2" xr2:uid="{00000000-000D-0000-FFFF-FFFF00000000}"/>
  </bookViews>
  <sheets>
    <sheet name="VW_Alumnos_Normalizados" sheetId="2" r:id="rId1"/>
    <sheet name="Departamentos" sheetId="3" r:id="rId2"/>
    <sheet name="Calculos_KPI" sheetId="5" r:id="rId3"/>
    <sheet name="Dashboard_Escolar" sheetId="4" r:id="rId4"/>
  </sheets>
  <externalReferences>
    <externalReference r:id="rId5"/>
  </externalReferences>
  <definedNames>
    <definedName name="_xlnm.Print_Area" localSheetId="3">Dashboard_Escolar!$AK:$AQ</definedName>
    <definedName name="DatosExternos_1" localSheetId="0" hidden="1">VW_Alumnos_Normalizados!$A$1:$H$1001</definedName>
    <definedName name="DatosExternos_2" localSheetId="1" hidden="1">Departamentos!$A$1:$D$9</definedName>
    <definedName name="Socio">INDIRECT([1]Calculos!$C$11)</definedName>
  </definedNames>
  <calcPr calcId="191029"/>
  <pivotCaches>
    <pivotCache cacheId="18" r:id="rId6"/>
    <pivotCache cacheId="19" r:id="rId7"/>
    <pivotCache cacheId="23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Alumnos_Normalizados_155d3280-0a76-436c-8c96-8028161cf9c9" name="VW_Alumnos_Normalizados" connection="Consulta - VW_Alumnos_Normalizados"/>
          <x15:modelTable id="Departamentos_3c59eeb0-fe7d-4a82-b957-a9dec7d2da1e" name="Departamentos" connection="Consulta - Departament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5" l="1"/>
  <c r="C79" i="5"/>
  <c r="C80" i="5"/>
  <c r="C77" i="5"/>
  <c r="B78" i="5"/>
  <c r="B79" i="5"/>
  <c r="B80" i="5"/>
  <c r="B77" i="5"/>
  <c r="J16" i="5"/>
  <c r="J15" i="5"/>
  <c r="J14" i="5"/>
  <c r="J13" i="5"/>
  <c r="J8" i="5"/>
  <c r="J7" i="5"/>
  <c r="J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BE5C0-097E-4DB1-B7F0-7DA24DE637A7}" name="Consulta - Departamentos" description="Conexión a la consulta 'Departamentos' en el libro." type="100" refreshedVersion="8" minRefreshableVersion="5">
    <extLst>
      <ext xmlns:x15="http://schemas.microsoft.com/office/spreadsheetml/2010/11/main" uri="{DE250136-89BD-433C-8126-D09CA5730AF9}">
        <x15:connection id="cde2731c-7aca-4b0f-b43a-8706372cbfda"/>
      </ext>
    </extLst>
  </connection>
  <connection id="2" xr16:uid="{23F462B6-A245-46EB-87D5-1411A534D25A}" name="Consulta - VW_Alumnos_Normalizados" description="Conexión a la consulta 'VW_Alumnos_Normalizados' en el libro." type="100" refreshedVersion="8" minRefreshableVersion="5">
    <extLst>
      <ext xmlns:x15="http://schemas.microsoft.com/office/spreadsheetml/2010/11/main" uri="{DE250136-89BD-433C-8126-D09CA5730AF9}">
        <x15:connection id="1676d075-1f49-4d85-9bf7-0fe57a37dfdb"/>
      </ext>
    </extLst>
  </connection>
  <connection id="3" xr16:uid="{AF7C44A1-64DC-4845-80E1-1FE0EC3A1EAD}" keepAlive="1" name="ModelConnection_DatosExternos_1" description="Modelo de datos" type="5" refreshedVersion="8" minRefreshableVersion="5" saveData="1">
    <dbPr connection="Data Model Connection" command="VW_Alumnos_Normalizado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5AFD005-460D-498E-BF2B-24A559A762BA}" keepAlive="1" name="ModelConnection_DatosExternos_2" description="Modelo de datos" type="5" refreshedVersion="8" minRefreshableVersion="5" saveData="1">
    <dbPr connection="Data Model Connection" command="Departament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B37D6D6-34D0-4F7A-9995-15F30704067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VW_Alumnos_Normalizados].[AlumnoID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<sst xmlns="http://schemas.openxmlformats.org/spreadsheetml/2006/main" count="4125" uniqueCount="1058">
  <si>
    <t>AlumnoID</t>
  </si>
  <si>
    <t>Nombre</t>
  </si>
  <si>
    <t>Carrera</t>
  </si>
  <si>
    <t>Facultad</t>
  </si>
  <si>
    <t>FechaIngreso</t>
  </si>
  <si>
    <t>EstatusAcademico</t>
  </si>
  <si>
    <t>PromedioHistorico</t>
  </si>
  <si>
    <t>Generacion</t>
  </si>
  <si>
    <t>User_id_6</t>
  </si>
  <si>
    <t>Derecho Penal</t>
  </si>
  <si>
    <t>Humanidades</t>
  </si>
  <si>
    <t>Activo</t>
  </si>
  <si>
    <t>User_id_19</t>
  </si>
  <si>
    <t>Estudiante_id_31</t>
  </si>
  <si>
    <t>User_id_39</t>
  </si>
  <si>
    <t>Alumno_id_41</t>
  </si>
  <si>
    <t>User_id_44</t>
  </si>
  <si>
    <t>Alumno_id_74</t>
  </si>
  <si>
    <t>Alumno_id_81</t>
  </si>
  <si>
    <t>Estudiante_id_92</t>
  </si>
  <si>
    <t>Estudiante_id_146</t>
  </si>
  <si>
    <t>Estudiante_id_147</t>
  </si>
  <si>
    <t>Alumno_id_158</t>
  </si>
  <si>
    <t>Candidato_id_162</t>
  </si>
  <si>
    <t>Estudiante_id_168</t>
  </si>
  <si>
    <t>Estudiante_id_177</t>
  </si>
  <si>
    <t>User_id_179</t>
  </si>
  <si>
    <t>Alumno_id_184</t>
  </si>
  <si>
    <t>Alumno_id_189</t>
  </si>
  <si>
    <t>Candidato_id_201</t>
  </si>
  <si>
    <t>User_id_227</t>
  </si>
  <si>
    <t>Estudiante_id_240</t>
  </si>
  <si>
    <t>Candidato_id_244</t>
  </si>
  <si>
    <t>Estudiante_id_246</t>
  </si>
  <si>
    <t>User_id_251</t>
  </si>
  <si>
    <t>Alumno_id_252</t>
  </si>
  <si>
    <t>Estudiante_id_260</t>
  </si>
  <si>
    <t>User_id_261</t>
  </si>
  <si>
    <t>Alumno_id_301</t>
  </si>
  <si>
    <t>Estudiante_id_330</t>
  </si>
  <si>
    <t>User_id_346</t>
  </si>
  <si>
    <t>Candidato_id_348</t>
  </si>
  <si>
    <t>User_id_379</t>
  </si>
  <si>
    <t>Alumno_id_387</t>
  </si>
  <si>
    <t>Candidato_id_388</t>
  </si>
  <si>
    <t>User_id_409</t>
  </si>
  <si>
    <t>Alumno_id_416</t>
  </si>
  <si>
    <t>Alumno_id_428</t>
  </si>
  <si>
    <t>Candidato_id_432</t>
  </si>
  <si>
    <t>Alumno_id_443</t>
  </si>
  <si>
    <t>Candidato_id_445</t>
  </si>
  <si>
    <t>User_id_467</t>
  </si>
  <si>
    <t>Estudiante_id_470</t>
  </si>
  <si>
    <t>User_id_494</t>
  </si>
  <si>
    <t>User_id_520</t>
  </si>
  <si>
    <t>User_id_560</t>
  </si>
  <si>
    <t>Estudiante_id_591</t>
  </si>
  <si>
    <t>Estudiante_id_601</t>
  </si>
  <si>
    <t>Estudiante_id_633</t>
  </si>
  <si>
    <t>Estudiante_id_636</t>
  </si>
  <si>
    <t>Estudiante_id_638</t>
  </si>
  <si>
    <t>User_id_662</t>
  </si>
  <si>
    <t>Candidato_id_692</t>
  </si>
  <si>
    <t>Candidato_id_704</t>
  </si>
  <si>
    <t>Estudiante_id_710</t>
  </si>
  <si>
    <t>Estudiante_id_728</t>
  </si>
  <si>
    <t>Alumno_id_731</t>
  </si>
  <si>
    <t>Alumno_id_742</t>
  </si>
  <si>
    <t>Candidato_id_748</t>
  </si>
  <si>
    <t>User_id_774</t>
  </si>
  <si>
    <t>Candidato_id_776</t>
  </si>
  <si>
    <t>Estudiante_id_783</t>
  </si>
  <si>
    <t>Estudiante_id_801</t>
  </si>
  <si>
    <t>Candidato_id_803</t>
  </si>
  <si>
    <t>Estudiante_id_807</t>
  </si>
  <si>
    <t>Estudiante_id_833</t>
  </si>
  <si>
    <t>User_id_834</t>
  </si>
  <si>
    <t>Estudiante_id_835</t>
  </si>
  <si>
    <t>User_id_850</t>
  </si>
  <si>
    <t>User_id_854</t>
  </si>
  <si>
    <t>User_id_883</t>
  </si>
  <si>
    <t>Alumno_id_914</t>
  </si>
  <si>
    <t>Estudiante_id_947</t>
  </si>
  <si>
    <t>Estudiante_id_958</t>
  </si>
  <si>
    <t>User_id_61</t>
  </si>
  <si>
    <t>Cálculo Avanzado</t>
  </si>
  <si>
    <t>Ciencias Exactas</t>
  </si>
  <si>
    <t>Alumno_id_66</t>
  </si>
  <si>
    <t>Alumno_id_68</t>
  </si>
  <si>
    <t>Candidato_id_77</t>
  </si>
  <si>
    <t>Alumno_id_97</t>
  </si>
  <si>
    <t>Estudiante_id_124</t>
  </si>
  <si>
    <t>User_id_153</t>
  </si>
  <si>
    <t>Alumno_id_155</t>
  </si>
  <si>
    <t>Alumno_id_166</t>
  </si>
  <si>
    <t>User_id_172</t>
  </si>
  <si>
    <t>Estudiante_id_196</t>
  </si>
  <si>
    <t>Estudiante_id_265</t>
  </si>
  <si>
    <t>Estudiante_id_285</t>
  </si>
  <si>
    <t>Alumno_id_291</t>
  </si>
  <si>
    <t>User_id_302</t>
  </si>
  <si>
    <t>Estudiante_id_305</t>
  </si>
  <si>
    <t>Alumno_id_307</t>
  </si>
  <si>
    <t>User_id_311</t>
  </si>
  <si>
    <t>Alumno_id_326</t>
  </si>
  <si>
    <t>User_id_342</t>
  </si>
  <si>
    <t>Candidato_id_370</t>
  </si>
  <si>
    <t>Alumno_id_385</t>
  </si>
  <si>
    <t>Alumno_id_403</t>
  </si>
  <si>
    <t>Candidato_id_431</t>
  </si>
  <si>
    <t>User_id_438</t>
  </si>
  <si>
    <t>Estudiante_id_449</t>
  </si>
  <si>
    <t>User_id_469</t>
  </si>
  <si>
    <t>Alumno_id_476</t>
  </si>
  <si>
    <t>User_id_482</t>
  </si>
  <si>
    <t>Estudiante_id_509</t>
  </si>
  <si>
    <t>Estudiante_id_522</t>
  </si>
  <si>
    <t>Estudiante_id_534</t>
  </si>
  <si>
    <t>Alumno_id_553</t>
  </si>
  <si>
    <t>Candidato_id_569</t>
  </si>
  <si>
    <t>Alumno_id_579</t>
  </si>
  <si>
    <t>Candidato_id_588</t>
  </si>
  <si>
    <t>User_id_589</t>
  </si>
  <si>
    <t>User_id_606</t>
  </si>
  <si>
    <t>Estudiante_id_624</t>
  </si>
  <si>
    <t>Estudiante_id_627</t>
  </si>
  <si>
    <t>Candidato_id_629</t>
  </si>
  <si>
    <t>User_id_634</t>
  </si>
  <si>
    <t>Estudiante_id_643</t>
  </si>
  <si>
    <t>User_id_656</t>
  </si>
  <si>
    <t>User_id_660</t>
  </si>
  <si>
    <t>User_id_686</t>
  </si>
  <si>
    <t>Estudiante_id_687</t>
  </si>
  <si>
    <t>Estudiante_id_695</t>
  </si>
  <si>
    <t>Alumno_id_707</t>
  </si>
  <si>
    <t>Estudiante_id_716</t>
  </si>
  <si>
    <t>User_id_725</t>
  </si>
  <si>
    <t>Estudiante_id_750</t>
  </si>
  <si>
    <t>Estudiante_id_754</t>
  </si>
  <si>
    <t>Estudiante_id_756</t>
  </si>
  <si>
    <t>User_id_787</t>
  </si>
  <si>
    <t>User_id_802</t>
  </si>
  <si>
    <t>Alumno_id_861</t>
  </si>
  <si>
    <t>Alumno_id_872</t>
  </si>
  <si>
    <t>Alumno_id_873</t>
  </si>
  <si>
    <t>Alumno_id_884</t>
  </si>
  <si>
    <t>Estudiante_id_892</t>
  </si>
  <si>
    <t>Estudiante_id_905</t>
  </si>
  <si>
    <t>User_id_913</t>
  </si>
  <si>
    <t>User_id_935</t>
  </si>
  <si>
    <t>Estudiante_id_970</t>
  </si>
  <si>
    <t>Candidato_id_991</t>
  </si>
  <si>
    <t>Alumno_id_3</t>
  </si>
  <si>
    <t>Ingeniería en Sistemas</t>
  </si>
  <si>
    <t>Facultad de Ingeniería</t>
  </si>
  <si>
    <t>Candidato_id_10</t>
  </si>
  <si>
    <t>Contaduría Pública</t>
  </si>
  <si>
    <t>Administración</t>
  </si>
  <si>
    <t>Alumno_id_16</t>
  </si>
  <si>
    <t>User_id_32</t>
  </si>
  <si>
    <t>Alumno_id_43</t>
  </si>
  <si>
    <t>Alumno_id_46</t>
  </si>
  <si>
    <t>User_id_54</t>
  </si>
  <si>
    <t>User_id_78</t>
  </si>
  <si>
    <t>User_id_80</t>
  </si>
  <si>
    <t>User_id_82</t>
  </si>
  <si>
    <t>Alumno_id_91</t>
  </si>
  <si>
    <t>Estudiante_id_99</t>
  </si>
  <si>
    <t>Alumno_id_101</t>
  </si>
  <si>
    <t>User_id_102</t>
  </si>
  <si>
    <t>Estudiante_id_115</t>
  </si>
  <si>
    <t>Candidato_id_116</t>
  </si>
  <si>
    <t>Alumno_id_129</t>
  </si>
  <si>
    <t>Candidato_id_130</t>
  </si>
  <si>
    <t>Estudiante_id_134</t>
  </si>
  <si>
    <t>User_id_143</t>
  </si>
  <si>
    <t>User_id_150</t>
  </si>
  <si>
    <t>Alumno_id_154</t>
  </si>
  <si>
    <t>Estudiante_id_156</t>
  </si>
  <si>
    <t>Estudiante_id_171</t>
  </si>
  <si>
    <t>Alumno_id_174</t>
  </si>
  <si>
    <t>User_id_198</t>
  </si>
  <si>
    <t>Estudiante_id_203</t>
  </si>
  <si>
    <t>User_id_205</t>
  </si>
  <si>
    <t>Candidato_id_215</t>
  </si>
  <si>
    <t>Alumno_id_226</t>
  </si>
  <si>
    <t>Alumno_id_270</t>
  </si>
  <si>
    <t>Estudiante_id_279</t>
  </si>
  <si>
    <t>User_id_287</t>
  </si>
  <si>
    <t>Alumno_id_295</t>
  </si>
  <si>
    <t>Alumno_id_298</t>
  </si>
  <si>
    <t>Estudiante_id_304</t>
  </si>
  <si>
    <t>User_id_314</t>
  </si>
  <si>
    <t>Estudiante_id_339</t>
  </si>
  <si>
    <t>User_id_356</t>
  </si>
  <si>
    <t>Alumno_id_360</t>
  </si>
  <si>
    <t>User_id_362</t>
  </si>
  <si>
    <t>User_id_373</t>
  </si>
  <si>
    <t>Estudiante_id_374</t>
  </si>
  <si>
    <t>User_id_378</t>
  </si>
  <si>
    <t>Estudiante_id_402</t>
  </si>
  <si>
    <t>User_id_422</t>
  </si>
  <si>
    <t>Alumno_id_436</t>
  </si>
  <si>
    <t>User_id_452</t>
  </si>
  <si>
    <t>Candidato_id_461</t>
  </si>
  <si>
    <t>User_id_468</t>
  </si>
  <si>
    <t>Alumno_id_487</t>
  </si>
  <si>
    <t>User_id_491</t>
  </si>
  <si>
    <t>Alumno_id_493</t>
  </si>
  <si>
    <t>User_id_510</t>
  </si>
  <si>
    <t>Candidato_id_528</t>
  </si>
  <si>
    <t>User_id_535</t>
  </si>
  <si>
    <t>User_id_537</t>
  </si>
  <si>
    <t>Candidato_id_540</t>
  </si>
  <si>
    <t>User_id_546</t>
  </si>
  <si>
    <t>Alumno_id_554</t>
  </si>
  <si>
    <t>User_id_563</t>
  </si>
  <si>
    <t>User_id_581</t>
  </si>
  <si>
    <t>Estudiante_id_585</t>
  </si>
  <si>
    <t>Estudiante_id_597</t>
  </si>
  <si>
    <t>User_id_604</t>
  </si>
  <si>
    <t>Alumno_id_605</t>
  </si>
  <si>
    <t>User_id_607</t>
  </si>
  <si>
    <t>Estudiante_id_617</t>
  </si>
  <si>
    <t>Estudiante_id_639</t>
  </si>
  <si>
    <t>Estudiante_id_652</t>
  </si>
  <si>
    <t>Candidato_id_654</t>
  </si>
  <si>
    <t>Estudiante_id_670</t>
  </si>
  <si>
    <t>User_id_672</t>
  </si>
  <si>
    <t>User_id_679</t>
  </si>
  <si>
    <t>Alumno_id_680</t>
  </si>
  <si>
    <t>Estudiante_id_688</t>
  </si>
  <si>
    <t>User_id_703</t>
  </si>
  <si>
    <t>Candidato_id_709</t>
  </si>
  <si>
    <t>Estudiante_id_722</t>
  </si>
  <si>
    <t>User_id_726</t>
  </si>
  <si>
    <t>Alumno_id_733</t>
  </si>
  <si>
    <t>Estudiante_id_736</t>
  </si>
  <si>
    <t>User_id_746</t>
  </si>
  <si>
    <t>Estudiante_id_749</t>
  </si>
  <si>
    <t>Estudiante_id_751</t>
  </si>
  <si>
    <t>Estudiante_id_753</t>
  </si>
  <si>
    <t>Alumno_id_758</t>
  </si>
  <si>
    <t>Estudiante_id_762</t>
  </si>
  <si>
    <t>User_id_770</t>
  </si>
  <si>
    <t>User_id_773</t>
  </si>
  <si>
    <t>User_id_782</t>
  </si>
  <si>
    <t>Candidato_id_784</t>
  </si>
  <si>
    <t>User_id_798</t>
  </si>
  <si>
    <t>Estudiante_id_805</t>
  </si>
  <si>
    <t>Estudiante_id_809</t>
  </si>
  <si>
    <t>User_id_826</t>
  </si>
  <si>
    <t>Candidato_id_840</t>
  </si>
  <si>
    <t>User_id_844</t>
  </si>
  <si>
    <t>Estudiante_id_860</t>
  </si>
  <si>
    <t>Candidato_id_862</t>
  </si>
  <si>
    <t>User_id_863</t>
  </si>
  <si>
    <t>Candidato_id_876</t>
  </si>
  <si>
    <t>Alumno_id_907</t>
  </si>
  <si>
    <t>Estudiante_id_933</t>
  </si>
  <si>
    <t>Estudiante_id_944</t>
  </si>
  <si>
    <t>Estudiante_id_951</t>
  </si>
  <si>
    <t>User_id_964</t>
  </si>
  <si>
    <t>Candidato_id_969</t>
  </si>
  <si>
    <t>Alumno_id_973</t>
  </si>
  <si>
    <t>Candidato_id_978</t>
  </si>
  <si>
    <t>Candidato_id_979</t>
  </si>
  <si>
    <t>Estudiante_id_980</t>
  </si>
  <si>
    <t>Estudiante_id_989</t>
  </si>
  <si>
    <t>Estudiante_id_2</t>
  </si>
  <si>
    <t>Pendiente</t>
  </si>
  <si>
    <t>User_id_9</t>
  </si>
  <si>
    <t>Alumno_id_28</t>
  </si>
  <si>
    <t>User_id_36</t>
  </si>
  <si>
    <t>Estudiante_id_57</t>
  </si>
  <si>
    <t>Alumno_id_90</t>
  </si>
  <si>
    <t>User_id_104</t>
  </si>
  <si>
    <t>Alumno_id_108</t>
  </si>
  <si>
    <t>Estudiante_id_113</t>
  </si>
  <si>
    <t>Candidato_id_118</t>
  </si>
  <si>
    <t>Estudiante_id_122</t>
  </si>
  <si>
    <t>Estudiante_id_127</t>
  </si>
  <si>
    <t>Candidato_id_138</t>
  </si>
  <si>
    <t>Estudiante_id_140</t>
  </si>
  <si>
    <t>Alumno_id_144</t>
  </si>
  <si>
    <t>Candidato_id_145</t>
  </si>
  <si>
    <t>Estudiante_id_160</t>
  </si>
  <si>
    <t>User_id_180</t>
  </si>
  <si>
    <t>Candidato_id_183</t>
  </si>
  <si>
    <t>User_id_193</t>
  </si>
  <si>
    <t>Candidato_id_194</t>
  </si>
  <si>
    <t>Candidato_id_200</t>
  </si>
  <si>
    <t>User_id_211</t>
  </si>
  <si>
    <t>User_id_217</t>
  </si>
  <si>
    <t>User_id_233</t>
  </si>
  <si>
    <t>Alumno_id_237</t>
  </si>
  <si>
    <t>User_id_239</t>
  </si>
  <si>
    <t>Estudiante_id_241</t>
  </si>
  <si>
    <t>User_id_242</t>
  </si>
  <si>
    <t>Alumno_id_255</t>
  </si>
  <si>
    <t>User_id_256</t>
  </si>
  <si>
    <t>Estudiante_id_259</t>
  </si>
  <si>
    <t>Alumno_id_262</t>
  </si>
  <si>
    <t>Estudiante_id_267</t>
  </si>
  <si>
    <t>Estudiante_id_275</t>
  </si>
  <si>
    <t>Estudiante_id_277</t>
  </si>
  <si>
    <t>Estudiante_id_288</t>
  </si>
  <si>
    <t>Alumno_id_292</t>
  </si>
  <si>
    <t>Alumno_id_315</t>
  </si>
  <si>
    <t>Candidato_id_317</t>
  </si>
  <si>
    <t>Alumno_id_321</t>
  </si>
  <si>
    <t>Alumno_id_322</t>
  </si>
  <si>
    <t>Candidato_id_333</t>
  </si>
  <si>
    <t>User_id_335</t>
  </si>
  <si>
    <t>Alumno_id_365</t>
  </si>
  <si>
    <t>Estudiante_id_391</t>
  </si>
  <si>
    <t>Alumno_id_395</t>
  </si>
  <si>
    <t>Candidato_id_410</t>
  </si>
  <si>
    <t>Candidato_id_413</t>
  </si>
  <si>
    <t>Candidato_id_417</t>
  </si>
  <si>
    <t>User_id_419</t>
  </si>
  <si>
    <t>Estudiante_id_420</t>
  </si>
  <si>
    <t>User_id_421</t>
  </si>
  <si>
    <t>User_id_425</t>
  </si>
  <si>
    <t>User_id_426</t>
  </si>
  <si>
    <t>User_id_427</t>
  </si>
  <si>
    <t>User_id_429</t>
  </si>
  <si>
    <t>Alumno_id_446</t>
  </si>
  <si>
    <t>User_id_457</t>
  </si>
  <si>
    <t>User_id_459</t>
  </si>
  <si>
    <t>User_id_472</t>
  </si>
  <si>
    <t>Candidato_id_480</t>
  </si>
  <si>
    <t>Estudiante_id_484</t>
  </si>
  <si>
    <t>Estudiante_id_486</t>
  </si>
  <si>
    <t>Alumno_id_505</t>
  </si>
  <si>
    <t>Estudiante_id_506</t>
  </si>
  <si>
    <t>User_id_512</t>
  </si>
  <si>
    <t>Estudiante_id_513</t>
  </si>
  <si>
    <t>User_id_516</t>
  </si>
  <si>
    <t>User_id_518</t>
  </si>
  <si>
    <t>Alumno_id_523</t>
  </si>
  <si>
    <t>Alumno_id_524</t>
  </si>
  <si>
    <t>Estudiante_id_530</t>
  </si>
  <si>
    <t>User_id_536</t>
  </si>
  <si>
    <t>Estudiante_id_548</t>
  </si>
  <si>
    <t>Estudiante_id_561</t>
  </si>
  <si>
    <t>Estudiante_id_564</t>
  </si>
  <si>
    <t>Alumno_id_565</t>
  </si>
  <si>
    <t>Alumno_id_567</t>
  </si>
  <si>
    <t>Candidato_id_570</t>
  </si>
  <si>
    <t>Estudiante_id_596</t>
  </si>
  <si>
    <t>Estudiante_id_608</t>
  </si>
  <si>
    <t>Alumno_id_616</t>
  </si>
  <si>
    <t>Candidato_id_618</t>
  </si>
  <si>
    <t>Estudiante_id_622</t>
  </si>
  <si>
    <t>Alumno_id_628</t>
  </si>
  <si>
    <t>Estudiante_id_635</t>
  </si>
  <si>
    <t>Alumno_id_650</t>
  </si>
  <si>
    <t>User_id_663</t>
  </si>
  <si>
    <t>Alumno_id_664</t>
  </si>
  <si>
    <t>Estudiante_id_671</t>
  </si>
  <si>
    <t>User_id_674</t>
  </si>
  <si>
    <t>Estudiante_id_691</t>
  </si>
  <si>
    <t>Candidato_id_715</t>
  </si>
  <si>
    <t>Candidato_id_724</t>
  </si>
  <si>
    <t>Alumno_id_730</t>
  </si>
  <si>
    <t>Estudiante_id_737</t>
  </si>
  <si>
    <t>User_id_739</t>
  </si>
  <si>
    <t>Estudiante_id_741</t>
  </si>
  <si>
    <t>User_id_759</t>
  </si>
  <si>
    <t>User_id_761</t>
  </si>
  <si>
    <t>Estudiante_id_766</t>
  </si>
  <si>
    <t>User_id_768</t>
  </si>
  <si>
    <t>Estudiante_id_777</t>
  </si>
  <si>
    <t>Alumno_id_789</t>
  </si>
  <si>
    <t>User_id_792</t>
  </si>
  <si>
    <t>Alumno_id_808</t>
  </si>
  <si>
    <t>User_id_812</t>
  </si>
  <si>
    <t>Estudiante_id_814</t>
  </si>
  <si>
    <t>Candidato_id_816</t>
  </si>
  <si>
    <t>Estudiante_id_823</t>
  </si>
  <si>
    <t>Candidato_id_831</t>
  </si>
  <si>
    <t>Estudiante_id_845</t>
  </si>
  <si>
    <t>User_id_855</t>
  </si>
  <si>
    <t>Alumno_id_890</t>
  </si>
  <si>
    <t>Estudiante_id_895</t>
  </si>
  <si>
    <t>Alumno_id_910</t>
  </si>
  <si>
    <t>Estudiante_id_911</t>
  </si>
  <si>
    <t>Estudiante_id_921</t>
  </si>
  <si>
    <t>User_id_925</t>
  </si>
  <si>
    <t>User_id_928</t>
  </si>
  <si>
    <t>Estudiante_id_929</t>
  </si>
  <si>
    <t>Candidato_id_931</t>
  </si>
  <si>
    <t>Alumno_id_937</t>
  </si>
  <si>
    <t>Estudiante_id_939</t>
  </si>
  <si>
    <t>Estudiante_id_940</t>
  </si>
  <si>
    <t>Estudiante_id_941</t>
  </si>
  <si>
    <t>Candidato_id_952</t>
  </si>
  <si>
    <t>Candidato_id_957</t>
  </si>
  <si>
    <t>User_id_962</t>
  </si>
  <si>
    <t>Estudiante_id_965</t>
  </si>
  <si>
    <t>User_id_967</t>
  </si>
  <si>
    <t>User_id_981</t>
  </si>
  <si>
    <t>Alumno_id_985</t>
  </si>
  <si>
    <t>Candidato_id_988</t>
  </si>
  <si>
    <t>Estudiante_id_998</t>
  </si>
  <si>
    <t>Alumno_id_11</t>
  </si>
  <si>
    <t>User_id_55</t>
  </si>
  <si>
    <t>Estudiante_id_64</t>
  </si>
  <si>
    <t>Estudiante_id_75</t>
  </si>
  <si>
    <t>Estudiante_id_76</t>
  </si>
  <si>
    <t>Alumno_id_86</t>
  </si>
  <si>
    <t>User_id_87</t>
  </si>
  <si>
    <t>User_id_106</t>
  </si>
  <si>
    <t>Estudiante_id_123</t>
  </si>
  <si>
    <t>Estudiante_id_125</t>
  </si>
  <si>
    <t>User_id_131</t>
  </si>
  <si>
    <t>User_id_137</t>
  </si>
  <si>
    <t>User_id_165</t>
  </si>
  <si>
    <t>Alumno_id_178</t>
  </si>
  <si>
    <t>Estudiante_id_182</t>
  </si>
  <si>
    <t>Estudiante_id_187</t>
  </si>
  <si>
    <t>Candidato_id_216</t>
  </si>
  <si>
    <t>Alumno_id_219</t>
  </si>
  <si>
    <t>Estudiante_id_230</t>
  </si>
  <si>
    <t>Alumno_id_243</t>
  </si>
  <si>
    <t>Alumno_id_248</t>
  </si>
  <si>
    <t>Estudiante_id_253</t>
  </si>
  <si>
    <t>Estudiante_id_274</t>
  </si>
  <si>
    <t>User_id_281</t>
  </si>
  <si>
    <t>Alumno_id_300</t>
  </si>
  <si>
    <t>Estudiante_id_318</t>
  </si>
  <si>
    <t>Candidato_id_323</t>
  </si>
  <si>
    <t>Estudiante_id_337</t>
  </si>
  <si>
    <t>Alumno_id_347</t>
  </si>
  <si>
    <t>User_id_359</t>
  </si>
  <si>
    <t>User_id_369</t>
  </si>
  <si>
    <t>User_id_377</t>
  </si>
  <si>
    <t>User_id_478</t>
  </si>
  <si>
    <t>Estudiante_id_479</t>
  </si>
  <si>
    <t>Estudiante_id_500</t>
  </si>
  <si>
    <t>User_id_501</t>
  </si>
  <si>
    <t>User_id_531</t>
  </si>
  <si>
    <t>User_id_644</t>
  </si>
  <si>
    <t>Estudiante_id_648</t>
  </si>
  <si>
    <t>User_id_667</t>
  </si>
  <si>
    <t>User_id_668</t>
  </si>
  <si>
    <t>Alumno_id_701</t>
  </si>
  <si>
    <t>Candidato_id_713</t>
  </si>
  <si>
    <t>Alumno_id_720</t>
  </si>
  <si>
    <t>User_id_755</t>
  </si>
  <si>
    <t>Estudiante_id_765</t>
  </si>
  <si>
    <t>Alumno_id_780</t>
  </si>
  <si>
    <t>User_id_786</t>
  </si>
  <si>
    <t>Alumno_id_793</t>
  </si>
  <si>
    <t>Estudiante_id_804</t>
  </si>
  <si>
    <t>Estudiante_id_836</t>
  </si>
  <si>
    <t>Alumno_id_858</t>
  </si>
  <si>
    <t>Alumno_id_867</t>
  </si>
  <si>
    <t>User_id_871</t>
  </si>
  <si>
    <t>Alumno_id_886</t>
  </si>
  <si>
    <t>Alumno_id_889</t>
  </si>
  <si>
    <t>User_id_894</t>
  </si>
  <si>
    <t>User_id_898</t>
  </si>
  <si>
    <t>User_id_900</t>
  </si>
  <si>
    <t>Estudiante_id_909</t>
  </si>
  <si>
    <t>Estudiante_id_943</t>
  </si>
  <si>
    <t>Candidato_id_975</t>
  </si>
  <si>
    <t>User_id_982</t>
  </si>
  <si>
    <t>Estudiante_id_995</t>
  </si>
  <si>
    <t>Estudiante_id_4</t>
  </si>
  <si>
    <t>Regular</t>
  </si>
  <si>
    <t>Estudiante_id_7</t>
  </si>
  <si>
    <t>User_id_8</t>
  </si>
  <si>
    <t>Candidato_id_12</t>
  </si>
  <si>
    <t>Estudiante_id_27</t>
  </si>
  <si>
    <t>Estudiante_id_30</t>
  </si>
  <si>
    <t>Estudiante_id_38</t>
  </si>
  <si>
    <t>User_id_42</t>
  </si>
  <si>
    <t>Candidato_id_45</t>
  </si>
  <si>
    <t>User_id_52</t>
  </si>
  <si>
    <t>Alumno_id_58</t>
  </si>
  <si>
    <t>Estudiante_id_60</t>
  </si>
  <si>
    <t>Estudiante_id_70</t>
  </si>
  <si>
    <t>Alumno_id_89</t>
  </si>
  <si>
    <t>Estudiante_id_94</t>
  </si>
  <si>
    <t>User_id_107</t>
  </si>
  <si>
    <t>Candidato_id_111</t>
  </si>
  <si>
    <t>Alumno_id_114</t>
  </si>
  <si>
    <t>Estudiante_id_126</t>
  </si>
  <si>
    <t>Alumno_id_133</t>
  </si>
  <si>
    <t>Estudiante_id_139</t>
  </si>
  <si>
    <t>Alumno_id_142</t>
  </si>
  <si>
    <t>Estudiante_id_152</t>
  </si>
  <si>
    <t>Alumno_id_161</t>
  </si>
  <si>
    <t>Candidato_id_169</t>
  </si>
  <si>
    <t>Estudiante_id_173</t>
  </si>
  <si>
    <t>User_id_186</t>
  </si>
  <si>
    <t>Alumno_id_188</t>
  </si>
  <si>
    <t>Alumno_id_190</t>
  </si>
  <si>
    <t>Alumno_id_192</t>
  </si>
  <si>
    <t>Alumno_id_206</t>
  </si>
  <si>
    <t>Estudiante_id_208</t>
  </si>
  <si>
    <t>Candidato_id_210</t>
  </si>
  <si>
    <t>Estudiante_id_231</t>
  </si>
  <si>
    <t>Alumno_id_238</t>
  </si>
  <si>
    <t>Alumno_id_247</t>
  </si>
  <si>
    <t>User_id_250</t>
  </si>
  <si>
    <t>Alumno_id_258</t>
  </si>
  <si>
    <t>User_id_276</t>
  </si>
  <si>
    <t>Alumno_id_280</t>
  </si>
  <si>
    <t>Alumno_id_289</t>
  </si>
  <si>
    <t>Candidato_id_290</t>
  </si>
  <si>
    <t>Alumno_id_296</t>
  </si>
  <si>
    <t>Candidato_id_299</t>
  </si>
  <si>
    <t>Alumno_id_303</t>
  </si>
  <si>
    <t>Candidato_id_306</t>
  </si>
  <si>
    <t>Candidato_id_309</t>
  </si>
  <si>
    <t>User_id_312</t>
  </si>
  <si>
    <t>Candidato_id_324</t>
  </si>
  <si>
    <t>User_id_325</t>
  </si>
  <si>
    <t>Alumno_id_327</t>
  </si>
  <si>
    <t>Estudiante_id_336</t>
  </si>
  <si>
    <t>Estudiante_id_340</t>
  </si>
  <si>
    <t>Estudiante_id_341</t>
  </si>
  <si>
    <t>Alumno_id_350</t>
  </si>
  <si>
    <t>Estudiante_id_352</t>
  </si>
  <si>
    <t>Alumno_id_364</t>
  </si>
  <si>
    <t>User_id_367</t>
  </si>
  <si>
    <t>User_id_375</t>
  </si>
  <si>
    <t>Estudiante_id_382</t>
  </si>
  <si>
    <t>User_id_396</t>
  </si>
  <si>
    <t>User_id_397</t>
  </si>
  <si>
    <t>Alumno_id_399</t>
  </si>
  <si>
    <t>Candidato_id_401</t>
  </si>
  <si>
    <t>Estudiante_id_407</t>
  </si>
  <si>
    <t>Alumno_id_411</t>
  </si>
  <si>
    <t>Alumno_id_412</t>
  </si>
  <si>
    <t>User_id_415</t>
  </si>
  <si>
    <t>Candidato_id_418</t>
  </si>
  <si>
    <t>Alumno_id_424</t>
  </si>
  <si>
    <t>Estudiante_id_430</t>
  </si>
  <si>
    <t>Estudiante_id_433</t>
  </si>
  <si>
    <t>Estudiante_id_440</t>
  </si>
  <si>
    <t>Alumno_id_441</t>
  </si>
  <si>
    <t>Alumno_id_454</t>
  </si>
  <si>
    <t>Alumno_id_463</t>
  </si>
  <si>
    <t>Alumno_id_471</t>
  </si>
  <si>
    <t>Estudiante_id_485</t>
  </si>
  <si>
    <t>Alumno_id_492</t>
  </si>
  <si>
    <t>Estudiante_id_495</t>
  </si>
  <si>
    <t>User_id_499</t>
  </si>
  <si>
    <t>Candidato_id_504</t>
  </si>
  <si>
    <t>Alumno_id_517</t>
  </si>
  <si>
    <t>Alumno_id_519</t>
  </si>
  <si>
    <t>User_id_527</t>
  </si>
  <si>
    <t>Estudiante_id_529</t>
  </si>
  <si>
    <t>Estudiante_id_532</t>
  </si>
  <si>
    <t>Alumno_id_533</t>
  </si>
  <si>
    <t>User_id_555</t>
  </si>
  <si>
    <t>Alumno_id_557</t>
  </si>
  <si>
    <t>Estudiante_id_562</t>
  </si>
  <si>
    <t>Estudiante_id_568</t>
  </si>
  <si>
    <t>User_id_575</t>
  </si>
  <si>
    <t>User_id_577</t>
  </si>
  <si>
    <t>User_id_584</t>
  </si>
  <si>
    <t>Candidato_id_587</t>
  </si>
  <si>
    <t>Estudiante_id_598</t>
  </si>
  <si>
    <t>Estudiante_id_600</t>
  </si>
  <si>
    <t>Estudiante_id_602</t>
  </si>
  <si>
    <t>Estudiante_id_612</t>
  </si>
  <si>
    <t>Candidato_id_615</t>
  </si>
  <si>
    <t>Candidato_id_640</t>
  </si>
  <si>
    <t>Alumno_id_647</t>
  </si>
  <si>
    <t>Candidato_id_659</t>
  </si>
  <si>
    <t>User_id_665</t>
  </si>
  <si>
    <t>Estudiante_id_673</t>
  </si>
  <si>
    <t>Alumno_id_677</t>
  </si>
  <si>
    <t>User_id_683</t>
  </si>
  <si>
    <t>User_id_684</t>
  </si>
  <si>
    <t>Candidato_id_690</t>
  </si>
  <si>
    <t>Estudiante_id_693</t>
  </si>
  <si>
    <t>Alumno_id_702</t>
  </si>
  <si>
    <t>Alumno_id_706</t>
  </si>
  <si>
    <t>User_id_708</t>
  </si>
  <si>
    <t>User_id_711</t>
  </si>
  <si>
    <t>Estudiante_id_718</t>
  </si>
  <si>
    <t>Estudiante_id_719</t>
  </si>
  <si>
    <t>User_id_729</t>
  </si>
  <si>
    <t>Alumno_id_738</t>
  </si>
  <si>
    <t>Estudiante_id_744</t>
  </si>
  <si>
    <t>Estudiante_id_745</t>
  </si>
  <si>
    <t>Estudiante_id_769</t>
  </si>
  <si>
    <t>Estudiante_id_771</t>
  </si>
  <si>
    <t>Estudiante_id_772</t>
  </si>
  <si>
    <t>Estudiante_id_778</t>
  </si>
  <si>
    <t>Estudiante_id_794</t>
  </si>
  <si>
    <t>Alumno_id_796</t>
  </si>
  <si>
    <t>User_id_797</t>
  </si>
  <si>
    <t>User_id_799</t>
  </si>
  <si>
    <t>User_id_810</t>
  </si>
  <si>
    <t>Alumno_id_811</t>
  </si>
  <si>
    <t>User_id_813</t>
  </si>
  <si>
    <t>Candidato_id_818</t>
  </si>
  <si>
    <t>Alumno_id_820</t>
  </si>
  <si>
    <t>User_id_821</t>
  </si>
  <si>
    <t>Candidato_id_824</t>
  </si>
  <si>
    <t>Estudiante_id_825</t>
  </si>
  <si>
    <t>Estudiante_id_827</t>
  </si>
  <si>
    <t>Estudiante_id_828</t>
  </si>
  <si>
    <t>Estudiante_id_838</t>
  </si>
  <si>
    <t>User_id_841</t>
  </si>
  <si>
    <t>Estudiante_id_842</t>
  </si>
  <si>
    <t>User_id_846</t>
  </si>
  <si>
    <t>User_id_849</t>
  </si>
  <si>
    <t>Candidato_id_851</t>
  </si>
  <si>
    <t>Estudiante_id_852</t>
  </si>
  <si>
    <t>Candidato_id_859</t>
  </si>
  <si>
    <t>Alumno_id_864</t>
  </si>
  <si>
    <t>Alumno_id_865</t>
  </si>
  <si>
    <t>Estudiante_id_870</t>
  </si>
  <si>
    <t>User_id_877</t>
  </si>
  <si>
    <t>Candidato_id_879</t>
  </si>
  <si>
    <t>User_id_897</t>
  </si>
  <si>
    <t>Candidato_id_902</t>
  </si>
  <si>
    <t>Alumno_id_906</t>
  </si>
  <si>
    <t>Alumno_id_912</t>
  </si>
  <si>
    <t>User_id_917</t>
  </si>
  <si>
    <t>Candidato_id_918</t>
  </si>
  <si>
    <t>Estudiante_id_922</t>
  </si>
  <si>
    <t>User_id_934</t>
  </si>
  <si>
    <t>User_id_938</t>
  </si>
  <si>
    <t>Estudiante_id_942</t>
  </si>
  <si>
    <t>Candidato_id_945</t>
  </si>
  <si>
    <t>User_id_946</t>
  </si>
  <si>
    <t>Estudiante_id_968</t>
  </si>
  <si>
    <t>Candidato_id_971</t>
  </si>
  <si>
    <t>Estudiante_id_972</t>
  </si>
  <si>
    <t>Estudiante_id_984</t>
  </si>
  <si>
    <t>Candidato_id_993</t>
  </si>
  <si>
    <t>Alumno_id_997</t>
  </si>
  <si>
    <t>Estudiante_id_1</t>
  </si>
  <si>
    <t>Baja_temp</t>
  </si>
  <si>
    <t>Candidato_id_15</t>
  </si>
  <si>
    <t>Estudiante_id_20</t>
  </si>
  <si>
    <t>Estudiante_id_25</t>
  </si>
  <si>
    <t>User_id_33</t>
  </si>
  <si>
    <t>Candidato_id_34</t>
  </si>
  <si>
    <t>Alumno_id_35</t>
  </si>
  <si>
    <t>Estudiante_id_48</t>
  </si>
  <si>
    <t>User_id_59</t>
  </si>
  <si>
    <t>Estudiante_id_71</t>
  </si>
  <si>
    <t>Estudiante_id_79</t>
  </si>
  <si>
    <t>Alumno_id_83</t>
  </si>
  <si>
    <t>Estudiante_id_85</t>
  </si>
  <si>
    <t>User_id_117</t>
  </si>
  <si>
    <t>Estudiante_id_119</t>
  </si>
  <si>
    <t>Alumno_id_148</t>
  </si>
  <si>
    <t>User_id_149</t>
  </si>
  <si>
    <t>User_id_163</t>
  </si>
  <si>
    <t>Alumno_id_167</t>
  </si>
  <si>
    <t>Candidato_id_185</t>
  </si>
  <si>
    <t>Alumno_id_207</t>
  </si>
  <si>
    <t>Alumno_id_213</t>
  </si>
  <si>
    <t>Alumno_id_220</t>
  </si>
  <si>
    <t>Estudiante_id_222</t>
  </si>
  <si>
    <t>Candidato_id_223</t>
  </si>
  <si>
    <t>User_id_224</t>
  </si>
  <si>
    <t>Estudiante_id_229</t>
  </si>
  <si>
    <t>User_id_235</t>
  </si>
  <si>
    <t>User_id_245</t>
  </si>
  <si>
    <t>Estudiante_id_254</t>
  </si>
  <si>
    <t>User_id_257</t>
  </si>
  <si>
    <t>Estudiante_id_264</t>
  </si>
  <si>
    <t>Candidato_id_269</t>
  </si>
  <si>
    <t>User_id_313</t>
  </si>
  <si>
    <t>Estudiante_id_316</t>
  </si>
  <si>
    <t>Estudiante_id_319</t>
  </si>
  <si>
    <t>User_id_328</t>
  </si>
  <si>
    <t>Candidato_id_332</t>
  </si>
  <si>
    <t>User_id_345</t>
  </si>
  <si>
    <t>Estudiante_id_349</t>
  </si>
  <si>
    <t>User_id_361</t>
  </si>
  <si>
    <t>User_id_372</t>
  </si>
  <si>
    <t>Estudiante_id_376</t>
  </si>
  <si>
    <t>Candidato_id_380</t>
  </si>
  <si>
    <t>User_id_383</t>
  </si>
  <si>
    <t>Estudiante_id_384</t>
  </si>
  <si>
    <t>User_id_389</t>
  </si>
  <si>
    <t>Estudiante_id_390</t>
  </si>
  <si>
    <t>Estudiante_id_400</t>
  </si>
  <si>
    <t>Estudiante_id_437</t>
  </si>
  <si>
    <t>Estudiante_id_444</t>
  </si>
  <si>
    <t>User_id_455</t>
  </si>
  <si>
    <t>Alumno_id_460</t>
  </si>
  <si>
    <t>Alumno_id_462</t>
  </si>
  <si>
    <t>Alumno_id_507</t>
  </si>
  <si>
    <t>Candidato_id_521</t>
  </si>
  <si>
    <t>Estudiante_id_538</t>
  </si>
  <si>
    <t>User_id_539</t>
  </si>
  <si>
    <t>User_id_544</t>
  </si>
  <si>
    <t>Estudiante_id_545</t>
  </si>
  <si>
    <t>Alumno_id_549</t>
  </si>
  <si>
    <t>User_id_556</t>
  </si>
  <si>
    <t>Candidato_id_573</t>
  </si>
  <si>
    <t>Estudiante_id_576</t>
  </si>
  <si>
    <t>Alumno_id_580</t>
  </si>
  <si>
    <t>User_id_592</t>
  </si>
  <si>
    <t>User_id_594</t>
  </si>
  <si>
    <t>User_id_614</t>
  </si>
  <si>
    <t>Estudiante_id_626</t>
  </si>
  <si>
    <t>User_id_641</t>
  </si>
  <si>
    <t>Estudiante_id_645</t>
  </si>
  <si>
    <t>Alumno_id_651</t>
  </si>
  <si>
    <t>Estudiante_id_653</t>
  </si>
  <si>
    <t>Alumno_id_655</t>
  </si>
  <si>
    <t>User_id_669</t>
  </si>
  <si>
    <t>Alumno_id_689</t>
  </si>
  <si>
    <t>User_id_698</t>
  </si>
  <si>
    <t>User_id_712</t>
  </si>
  <si>
    <t>User_id_740</t>
  </si>
  <si>
    <t>User_id_747</t>
  </si>
  <si>
    <t>User_id_752</t>
  </si>
  <si>
    <t>Candidato_id_760</t>
  </si>
  <si>
    <t>Estudiante_id_763</t>
  </si>
  <si>
    <t>Candidato_id_767</t>
  </si>
  <si>
    <t>Estudiante_id_781</t>
  </si>
  <si>
    <t>Estudiante_id_795</t>
  </si>
  <si>
    <t>Estudiante_id_817</t>
  </si>
  <si>
    <t>Estudiante_id_822</t>
  </si>
  <si>
    <t>Alumno_id_832</t>
  </si>
  <si>
    <t>Candidato_id_837</t>
  </si>
  <si>
    <t>Estudiante_id_839</t>
  </si>
  <si>
    <t>Candidato_id_847</t>
  </si>
  <si>
    <t>Estudiante_id_856</t>
  </si>
  <si>
    <t>Estudiante_id_866</t>
  </si>
  <si>
    <t>User_id_875</t>
  </si>
  <si>
    <t>Estudiante_id_885</t>
  </si>
  <si>
    <t>User_id_901</t>
  </si>
  <si>
    <t>Candidato_id_904</t>
  </si>
  <si>
    <t>Alumno_id_926</t>
  </si>
  <si>
    <t>User_id_949</t>
  </si>
  <si>
    <t>Alumno_id_950</t>
  </si>
  <si>
    <t>Alumno_id_954</t>
  </si>
  <si>
    <t>Alumno_id_966</t>
  </si>
  <si>
    <t>Candidato_id_990</t>
  </si>
  <si>
    <t>Estudiante_id_996</t>
  </si>
  <si>
    <t>Candidato_id_999</t>
  </si>
  <si>
    <t>Estudiante_id_13</t>
  </si>
  <si>
    <t>Alumno_id_29</t>
  </si>
  <si>
    <t>Estudiante_id_40</t>
  </si>
  <si>
    <t>Alumno_id_49</t>
  </si>
  <si>
    <t>Estudiante_id_53</t>
  </si>
  <si>
    <t>Estudiante_id_65</t>
  </si>
  <si>
    <t>User_id_67</t>
  </si>
  <si>
    <t>Estudiante_id_69</t>
  </si>
  <si>
    <t>Candidato_id_73</t>
  </si>
  <si>
    <t>Estudiante_id_100</t>
  </si>
  <si>
    <t>Alumno_id_105</t>
  </si>
  <si>
    <t>Estudiante_id_109</t>
  </si>
  <si>
    <t>Alumno_id_110</t>
  </si>
  <si>
    <t>Alumno_id_112</t>
  </si>
  <si>
    <t>Estudiante_id_121</t>
  </si>
  <si>
    <t>Alumno_id_135</t>
  </si>
  <si>
    <t>User_id_151</t>
  </si>
  <si>
    <t>Estudiante_id_170</t>
  </si>
  <si>
    <t>Candidato_id_181</t>
  </si>
  <si>
    <t>Alumno_id_191</t>
  </si>
  <si>
    <t>User_id_195</t>
  </si>
  <si>
    <t>Estudiante_id_199</t>
  </si>
  <si>
    <t>Candidato_id_202</t>
  </si>
  <si>
    <t>Alumno_id_204</t>
  </si>
  <si>
    <t>Candidato_id_221</t>
  </si>
  <si>
    <t>User_id_232</t>
  </si>
  <si>
    <t>Alumno_id_271</t>
  </si>
  <si>
    <t>Candidato_id_273</t>
  </si>
  <si>
    <t>Estudiante_id_293</t>
  </si>
  <si>
    <t>Candidato_id_331</t>
  </si>
  <si>
    <t>User_id_343</t>
  </si>
  <si>
    <t>Estudiante_id_366</t>
  </si>
  <si>
    <t>User_id_386</t>
  </si>
  <si>
    <t>User_id_393</t>
  </si>
  <si>
    <t>Alumno_id_434</t>
  </si>
  <si>
    <t>Candidato_id_435</t>
  </si>
  <si>
    <t>Alumno_id_465</t>
  </si>
  <si>
    <t>User_id_473</t>
  </si>
  <si>
    <t>Estudiante_id_474</t>
  </si>
  <si>
    <t>Candidato_id_477</t>
  </si>
  <si>
    <t>Candidato_id_483</t>
  </si>
  <si>
    <t>Alumno_id_498</t>
  </si>
  <si>
    <t>Estudiante_id_508</t>
  </si>
  <si>
    <t>User_id_511</t>
  </si>
  <si>
    <t>Estudiante_id_526</t>
  </si>
  <si>
    <t>Estudiante_id_541</t>
  </si>
  <si>
    <t>Alumno_id_542</t>
  </si>
  <si>
    <t>Candidato_id_572</t>
  </si>
  <si>
    <t>Alumno_id_590</t>
  </si>
  <si>
    <t>Estudiante_id_593</t>
  </si>
  <si>
    <t>Estudiante_id_595</t>
  </si>
  <si>
    <t>User_id_609</t>
  </si>
  <si>
    <t>User_id_611</t>
  </si>
  <si>
    <t>Alumno_id_613</t>
  </si>
  <si>
    <t>Candidato_id_623</t>
  </si>
  <si>
    <t>Alumno_id_625</t>
  </si>
  <si>
    <t>Alumno_id_637</t>
  </si>
  <si>
    <t>Candidato_id_661</t>
  </si>
  <si>
    <t>Estudiante_id_666</t>
  </si>
  <si>
    <t>User_id_675</t>
  </si>
  <si>
    <t>Alumno_id_678</t>
  </si>
  <si>
    <t>User_id_681</t>
  </si>
  <si>
    <t>User_id_682</t>
  </si>
  <si>
    <t>Candidato_id_685</t>
  </si>
  <si>
    <t>Alumno_id_700</t>
  </si>
  <si>
    <t>Estudiante_id_723</t>
  </si>
  <si>
    <t>Estudiante_id_727</t>
  </si>
  <si>
    <t>User_id_732</t>
  </si>
  <si>
    <t>User_id_734</t>
  </si>
  <si>
    <t>Alumno_id_735</t>
  </si>
  <si>
    <t>Alumno_id_779</t>
  </si>
  <si>
    <t>Estudiante_id_788</t>
  </si>
  <si>
    <t>Estudiante_id_791</t>
  </si>
  <si>
    <t>Estudiante_id_806</t>
  </si>
  <si>
    <t>Estudiante_id_815</t>
  </si>
  <si>
    <t>Candidato_id_853</t>
  </si>
  <si>
    <t>User_id_881</t>
  </si>
  <si>
    <t>Candidato_id_882</t>
  </si>
  <si>
    <t>Alumno_id_887</t>
  </si>
  <si>
    <t>Estudiante_id_888</t>
  </si>
  <si>
    <t>Estudiante_id_896</t>
  </si>
  <si>
    <t>User_id_916</t>
  </si>
  <si>
    <t>Alumno_id_924</t>
  </si>
  <si>
    <t>User_id_927</t>
  </si>
  <si>
    <t>Alumno_id_930</t>
  </si>
  <si>
    <t>Alumno_id_936</t>
  </si>
  <si>
    <t>Candidato_id_948</t>
  </si>
  <si>
    <t>Alumno_id_953</t>
  </si>
  <si>
    <t>User_id_960</t>
  </si>
  <si>
    <t>Alumno_id_986</t>
  </si>
  <si>
    <t>User_id_987</t>
  </si>
  <si>
    <t>Estudiante_id_992</t>
  </si>
  <si>
    <t>User_id_994</t>
  </si>
  <si>
    <t>Alumno_id_5</t>
  </si>
  <si>
    <t>Alumno_id_17</t>
  </si>
  <si>
    <t>Alumno_id_21</t>
  </si>
  <si>
    <t>Alumno_id_26</t>
  </si>
  <si>
    <t>User_id_37</t>
  </si>
  <si>
    <t>User_id_51</t>
  </si>
  <si>
    <t>Estudiante_id_56</t>
  </si>
  <si>
    <t>User_id_62</t>
  </si>
  <si>
    <t>Estudiante_id_72</t>
  </si>
  <si>
    <t>Candidato_id_88</t>
  </si>
  <si>
    <t>Estudiante_id_98</t>
  </si>
  <si>
    <t>User_id_103</t>
  </si>
  <si>
    <t>User_id_132</t>
  </si>
  <si>
    <t>Candidato_id_136</t>
  </si>
  <si>
    <t>User_id_157</t>
  </si>
  <si>
    <t>Estudiante_id_175</t>
  </si>
  <si>
    <t>Estudiante_id_176</t>
  </si>
  <si>
    <t>User_id_209</t>
  </si>
  <si>
    <t>User_id_225</t>
  </si>
  <si>
    <t>Estudiante_id_228</t>
  </si>
  <si>
    <t>User_id_236</t>
  </si>
  <si>
    <t>Estudiante_id_249</t>
  </si>
  <si>
    <t>Estudiante_id_278</t>
  </si>
  <si>
    <t>User_id_284</t>
  </si>
  <si>
    <t>Estudiante_id_329</t>
  </si>
  <si>
    <t>Alumno_id_344</t>
  </si>
  <si>
    <t>User_id_351</t>
  </si>
  <si>
    <t>Alumno_id_353</t>
  </si>
  <si>
    <t>User_id_368</t>
  </si>
  <si>
    <t>Estudiante_id_381</t>
  </si>
  <si>
    <t>Estudiante_id_394</t>
  </si>
  <si>
    <t>Estudiante_id_398</t>
  </si>
  <si>
    <t>Candidato_id_408</t>
  </si>
  <si>
    <t>Alumno_id_423</t>
  </si>
  <si>
    <t>Estudiante_id_447</t>
  </si>
  <si>
    <t>Estudiante_id_451</t>
  </si>
  <si>
    <t>Estudiante_id_456</t>
  </si>
  <si>
    <t>Candidato_id_458</t>
  </si>
  <si>
    <t>Estudiante_id_466</t>
  </si>
  <si>
    <t>Alumno_id_475</t>
  </si>
  <si>
    <t>User_id_481</t>
  </si>
  <si>
    <t>User_id_496</t>
  </si>
  <si>
    <t>Estudiante_id_503</t>
  </si>
  <si>
    <t>Candidato_id_525</t>
  </si>
  <si>
    <t>User_id_543</t>
  </si>
  <si>
    <t>Estudiante_id_547</t>
  </si>
  <si>
    <t>User_id_550</t>
  </si>
  <si>
    <t>User_id_551</t>
  </si>
  <si>
    <t>Alumno_id_558</t>
  </si>
  <si>
    <t>Estudiante_id_566</t>
  </si>
  <si>
    <t>Estudiante_id_571</t>
  </si>
  <si>
    <t>Alumno_id_574</t>
  </si>
  <si>
    <t>User_id_582</t>
  </si>
  <si>
    <t>Estudiante_id_583</t>
  </si>
  <si>
    <t>Candidato_id_619</t>
  </si>
  <si>
    <t>Alumno_id_621</t>
  </si>
  <si>
    <t>Alumno_id_630</t>
  </si>
  <si>
    <t>Alumno_id_632</t>
  </si>
  <si>
    <t>Candidato_id_642</t>
  </si>
  <si>
    <t>User_id_657</t>
  </si>
  <si>
    <t>User_id_658</t>
  </si>
  <si>
    <t>Estudiante_id_696</t>
  </si>
  <si>
    <t>Estudiante_id_699</t>
  </si>
  <si>
    <t>Estudiante_id_717</t>
  </si>
  <si>
    <t>User_id_785</t>
  </si>
  <si>
    <t>User_id_800</t>
  </si>
  <si>
    <t>Candidato_id_829</t>
  </si>
  <si>
    <t>Estudiante_id_843</t>
  </si>
  <si>
    <t>User_id_848</t>
  </si>
  <si>
    <t>Alumno_id_857</t>
  </si>
  <si>
    <t>Candidato_id_869</t>
  </si>
  <si>
    <t>Estudiante_id_874</t>
  </si>
  <si>
    <t>Estudiante_id_899</t>
  </si>
  <si>
    <t>Estudiante_id_919</t>
  </si>
  <si>
    <t>Estudiante_id_955</t>
  </si>
  <si>
    <t>User_id_963</t>
  </si>
  <si>
    <t>Estudiante_id_976</t>
  </si>
  <si>
    <t>User_id_1000</t>
  </si>
  <si>
    <t>Estudiante_id_18</t>
  </si>
  <si>
    <t>Estudiante_id_22</t>
  </si>
  <si>
    <t>User_id_23</t>
  </si>
  <si>
    <t>Alumno_id_24</t>
  </si>
  <si>
    <t>User_id_47</t>
  </si>
  <si>
    <t>Alumno_id_50</t>
  </si>
  <si>
    <t>Alumno_id_63</t>
  </si>
  <si>
    <t>Estudiante_id_93</t>
  </si>
  <si>
    <t>Candidato_id_95</t>
  </si>
  <si>
    <t>Alumno_id_96</t>
  </si>
  <si>
    <t>Candidato_id_120</t>
  </si>
  <si>
    <t>User_id_128</t>
  </si>
  <si>
    <t>User_id_141</t>
  </si>
  <si>
    <t>Alumno_id_164</t>
  </si>
  <si>
    <t>Estudiante_id_197</t>
  </si>
  <si>
    <t>Estudiante_id_212</t>
  </si>
  <si>
    <t>User_id_214</t>
  </si>
  <si>
    <t>User_id_218</t>
  </si>
  <si>
    <t>Alumno_id_234</t>
  </si>
  <si>
    <t>User_id_263</t>
  </si>
  <si>
    <t>Candidato_id_266</t>
  </si>
  <si>
    <t>Alumno_id_272</t>
  </si>
  <si>
    <t>Alumno_id_282</t>
  </si>
  <si>
    <t>Candidato_id_283</t>
  </si>
  <si>
    <t>Estudiante_id_286</t>
  </si>
  <si>
    <t>Estudiante_id_294</t>
  </si>
  <si>
    <t>Estudiante_id_297</t>
  </si>
  <si>
    <t>Alumno_id_310</t>
  </si>
  <si>
    <t>Estudiante_id_320</t>
  </si>
  <si>
    <t>Candidato_id_338</t>
  </si>
  <si>
    <t>User_id_354</t>
  </si>
  <si>
    <t>User_id_355</t>
  </si>
  <si>
    <t>Estudiante_id_357</t>
  </si>
  <si>
    <t>User_id_358</t>
  </si>
  <si>
    <t>Estudiante_id_363</t>
  </si>
  <si>
    <t>Estudiante_id_371</t>
  </si>
  <si>
    <t>Candidato_id_392</t>
  </si>
  <si>
    <t>Estudiante_id_404</t>
  </si>
  <si>
    <t>User_id_405</t>
  </si>
  <si>
    <t>Estudiante_id_406</t>
  </si>
  <si>
    <t>User_id_414</t>
  </si>
  <si>
    <t>User_id_439</t>
  </si>
  <si>
    <t>User_id_442</t>
  </si>
  <si>
    <t>Estudiante_id_448</t>
  </si>
  <si>
    <t>Estudiante_id_450</t>
  </si>
  <si>
    <t>Alumno_id_488</t>
  </si>
  <si>
    <t>Alumno_id_489</t>
  </si>
  <si>
    <t>Alumno_id_490</t>
  </si>
  <si>
    <t>User_id_497</t>
  </si>
  <si>
    <t>Alumno_id_502</t>
  </si>
  <si>
    <t>Alumno_id_514</t>
  </si>
  <si>
    <t>Estudiante_id_515</t>
  </si>
  <si>
    <t>Estudiante_id_552</t>
  </si>
  <si>
    <t>User_id_559</t>
  </si>
  <si>
    <t>Alumno_id_578</t>
  </si>
  <si>
    <t>Estudiante_id_586</t>
  </si>
  <si>
    <t>User_id_599</t>
  </si>
  <si>
    <t>Candidato_id_610</t>
  </si>
  <si>
    <t>Alumno_id_631</t>
  </si>
  <si>
    <t>User_id_646</t>
  </si>
  <si>
    <t>Estudiante_id_649</t>
  </si>
  <si>
    <t>Candidato_id_676</t>
  </si>
  <si>
    <t>Estudiante_id_694</t>
  </si>
  <si>
    <t>User_id_697</t>
  </si>
  <si>
    <t>User_id_714</t>
  </si>
  <si>
    <t>Candidato_id_721</t>
  </si>
  <si>
    <t>Alumno_id_764</t>
  </si>
  <si>
    <t>User_id_775</t>
  </si>
  <si>
    <t>User_id_790</t>
  </si>
  <si>
    <t>Estudiante_id_819</t>
  </si>
  <si>
    <t>User_id_830</t>
  </si>
  <si>
    <t>Estudiante_id_878</t>
  </si>
  <si>
    <t>Alumno_id_880</t>
  </si>
  <si>
    <t>Estudiante_id_891</t>
  </si>
  <si>
    <t>Estudiante_id_893</t>
  </si>
  <si>
    <t>Estudiante_id_903</t>
  </si>
  <si>
    <t>User_id_908</t>
  </si>
  <si>
    <t>User_id_915</t>
  </si>
  <si>
    <t>User_id_920</t>
  </si>
  <si>
    <t>Alumno_id_923</t>
  </si>
  <si>
    <t>User_id_932</t>
  </si>
  <si>
    <t>Estudiante_id_956</t>
  </si>
  <si>
    <t>Estudiante_id_959</t>
  </si>
  <si>
    <t>Estudiante_id_961</t>
  </si>
  <si>
    <t>Alumno_id_974</t>
  </si>
  <si>
    <t>Candidato_id_977</t>
  </si>
  <si>
    <t>User_id_983</t>
  </si>
  <si>
    <t>Estudiante_id_14</t>
  </si>
  <si>
    <t>Candidato_id_84</t>
  </si>
  <si>
    <t>Estudiante_id_159</t>
  </si>
  <si>
    <t>Estudiante_id_268</t>
  </si>
  <si>
    <t>User_id_308</t>
  </si>
  <si>
    <t>User_id_334</t>
  </si>
  <si>
    <t>Estudiante_id_453</t>
  </si>
  <si>
    <t>Alumno_id_464</t>
  </si>
  <si>
    <t>Candidato_id_603</t>
  </si>
  <si>
    <t>Estudiante_id_620</t>
  </si>
  <si>
    <t>Estudiante_id_705</t>
  </si>
  <si>
    <t>User_id_743</t>
  </si>
  <si>
    <t>User_id_757</t>
  </si>
  <si>
    <t>Candidato_id_868</t>
  </si>
  <si>
    <t>DeptoID</t>
  </si>
  <si>
    <t>PresupuestoAnual</t>
  </si>
  <si>
    <t>CreatedAt</t>
  </si>
  <si>
    <t>Facultad de Medicina</t>
  </si>
  <si>
    <t>Ciencias Sociales</t>
  </si>
  <si>
    <t>Diseño y Arquitectura</t>
  </si>
  <si>
    <t>Idiomas</t>
  </si>
  <si>
    <t>Etiquetas de columna</t>
  </si>
  <si>
    <t>Total general</t>
  </si>
  <si>
    <t>Etiquetas de fila</t>
  </si>
  <si>
    <t>All</t>
  </si>
  <si>
    <t>Promedio de PromedioHistorico</t>
  </si>
  <si>
    <t>Presupuesto Total</t>
  </si>
  <si>
    <t>Total  Alumnos</t>
  </si>
  <si>
    <t>1. INDICADORES CLAVE (KPIs)</t>
  </si>
  <si>
    <t>2. DISTRIBUCI��N POR FACULTAD</t>
  </si>
  <si>
    <t>Poblacion Total</t>
  </si>
  <si>
    <t>Promedio Global</t>
  </si>
  <si>
    <t>Alumnos Inscritos</t>
  </si>
  <si>
    <t>KPI 1</t>
  </si>
  <si>
    <t>KPI 2:</t>
  </si>
  <si>
    <t>Suma de AlumnoID</t>
  </si>
  <si>
    <t>Cuenta de AlumnoID</t>
  </si>
  <si>
    <t>KPI 4: Presupuesto Total</t>
  </si>
  <si>
    <t>KPI 3: Estatus 'Regular' o 'Activo' (Salud Financiera/Académica).</t>
  </si>
  <si>
    <t>Suma de PresupuestoAnual</t>
  </si>
  <si>
    <t>📊 Bloque 1: El "Snapshot" Ejecutivo (Tarjetas Top)</t>
  </si>
  <si>
    <t>🏛️ Bloque 2: Distribución por Facultad (Gráfico de Dona)</t>
  </si>
  <si>
    <r>
      <t>Objetivo:</t>
    </r>
    <r>
      <rPr>
        <sz val="11"/>
        <color theme="1"/>
        <rFont val="Calibri"/>
        <family val="2"/>
        <scheme val="minor"/>
      </rPr>
      <t xml:space="preserve"> Ver qué tan grande es cada departamento respecto al total.</t>
    </r>
  </si>
  <si>
    <t>📈 Bloque 3: Rendimiento por Carrera (Gráfico de Barras)</t>
  </si>
  <si>
    <r>
      <t>Objetivo:</t>
    </r>
    <r>
      <rPr>
        <sz val="11"/>
        <color theme="1"/>
        <rFont val="Calibri"/>
        <family val="2"/>
        <scheme val="minor"/>
      </rPr>
      <t xml:space="preserve"> Identificar qué áreas académicas están destacando.</t>
    </r>
  </si>
  <si>
    <t>totales globales que irán en las tarjetas superiores.</t>
  </si>
  <si>
    <t>📅 Bloque 4: Tendencia de Ingresos (Gráfico de Líneas)</t>
  </si>
  <si>
    <r>
      <t>Objetivo:</t>
    </r>
    <r>
      <rPr>
        <sz val="11"/>
        <color theme="1"/>
        <rFont val="Calibri"/>
        <family val="2"/>
        <scheme val="minor"/>
      </rPr>
      <t xml:space="preserve"> Ver el crecimiento de la población estudiantil año tras año</t>
    </r>
  </si>
  <si>
    <t>⚖️ Bloque 5: Eficiencia Presupuestal (KPI Avanzado)</t>
  </si>
  <si>
    <r>
      <t>Objetivo:</t>
    </r>
    <r>
      <rPr>
        <sz val="11"/>
        <color theme="1"/>
        <rFont val="Calibri"/>
        <family val="2"/>
        <scheme val="minor"/>
      </rPr>
      <t xml:space="preserve"> Alimentar el gráfico de "Velocímetro" o barras comparativas.</t>
    </r>
  </si>
  <si>
    <t>Suma de Presupuesto</t>
  </si>
  <si>
    <t>Promedio 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</si>
</sst>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;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70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94A3B8"/>
      <name val="Arial"/>
      <family val="2"/>
    </font>
    <font>
      <i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0" xfId="0" applyFill="1"/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44" fontId="4" fillId="0" borderId="0" xfId="1" applyFont="1" applyAlignment="1">
      <alignment horizontal="center"/>
    </xf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44" fontId="4" fillId="0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/>
    <xf numFmtId="0" fontId="4" fillId="0" borderId="0" xfId="0" applyFont="1"/>
    <xf numFmtId="170" fontId="0" fillId="0" borderId="0" xfId="0" applyNumberFormat="1"/>
    <xf numFmtId="7" fontId="0" fillId="0" borderId="0" xfId="0" applyNumberFormat="1"/>
    <xf numFmtId="0" fontId="0" fillId="6" borderId="0" xfId="0" applyFill="1" applyAlignment="1">
      <alignment horizontal="center"/>
    </xf>
    <xf numFmtId="3" fontId="0" fillId="0" borderId="0" xfId="0" applyNumberFormat="1"/>
    <xf numFmtId="0" fontId="7" fillId="0" borderId="0" xfId="0" applyFont="1"/>
    <xf numFmtId="2" fontId="0" fillId="0" borderId="0" xfId="0" applyNumberFormat="1"/>
    <xf numFmtId="0" fontId="5" fillId="4" borderId="2" xfId="0" applyFont="1" applyFill="1" applyBorder="1" applyAlignment="1">
      <alignment horizontal="center" vertical="top"/>
    </xf>
    <xf numFmtId="4" fontId="5" fillId="5" borderId="1" xfId="0" applyNumberFormat="1" applyFont="1" applyFill="1" applyBorder="1" applyAlignment="1">
      <alignment horizontal="center" vertical="top"/>
    </xf>
    <xf numFmtId="43" fontId="0" fillId="0" borderId="0" xfId="2" applyFont="1"/>
  </cellXfs>
  <cellStyles count="3">
    <cellStyle name="Millares" xfId="2" builtinId="3"/>
    <cellStyle name="Moneda" xfId="1" builtinId="4"/>
    <cellStyle name="Normal" xfId="0" builtinId="0"/>
  </cellStyles>
  <dxfs count="7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5" formatCode="0.000"/>
    </dxf>
    <dxf>
      <numFmt numFmtId="175" formatCode="0.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 indent="0"/>
    </dxf>
    <dxf>
      <numFmt numFmtId="4" formatCode="#,##0.00"/>
    </dxf>
    <dxf>
      <alignment horizontal="right"/>
    </dxf>
    <dxf>
      <numFmt numFmtId="2" formatCode="0.00"/>
    </dxf>
    <dxf>
      <alignment relativeIndent="-1"/>
    </dxf>
    <dxf>
      <alignment horizontal="left" relativeIndent="1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4" defaultTableStyle="TableStyleMedium2" defaultPivotStyle="PivotStyleLight16">
    <tableStyle name="SlicerStyleDark1 2" pivot="0" table="0" count="10" xr9:uid="{25881A38-3792-4B5A-9999-B3B538BD0FE8}">
      <tableStyleElement type="wholeTable" dxfId="78"/>
      <tableStyleElement type="headerRow" dxfId="77"/>
    </tableStyle>
    <tableStyle name="SlicerStyleDark1 2 2" pivot="0" table="0" count="10" xr9:uid="{0A39F156-B991-4B39-8564-E1CF5793350B}">
      <tableStyleElement type="wholeTable" dxfId="76"/>
      <tableStyleElement type="headerRow" dxfId="75"/>
    </tableStyle>
    <tableStyle name="SlicerStyleDark1 2 3" pivot="0" table="0" count="10" xr9:uid="{ABD4F285-1D4F-4202-9E28-6A4E1A3FE1F1}">
      <tableStyleElement type="wholeTable" dxfId="74"/>
      <tableStyleElement type="headerRow" dxfId="73"/>
    </tableStyle>
    <tableStyle name="SlicerStyleDark1 2 4" pivot="0" table="0" count="10" xr9:uid="{D562D8C6-2B9E-427B-ADA6-702A36170C19}">
      <tableStyleElement type="wholeTable" dxfId="72"/>
      <tableStyleElement type="headerRow" dxfId="71"/>
    </tableStyle>
  </tableStyles>
  <colors>
    <mruColors>
      <color rgb="FF212529"/>
      <color rgb="FFF8F8F8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rgb="FF002060"/>
          </font>
          <fill>
            <patternFill patternType="solid">
              <fgColor theme="4"/>
              <bgColor theme="7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rgb="FF002060"/>
          </font>
          <fill>
            <patternFill patternType="solid">
              <fgColor theme="4"/>
              <bgColor theme="7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rgb="FF002060"/>
          </font>
          <fill>
            <patternFill patternType="solid">
              <fgColor theme="4"/>
              <bgColor theme="7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rgb="FF002060"/>
          </font>
          <fill>
            <patternFill patternType="solid">
              <fgColor theme="4"/>
              <bgColor theme="7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1 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1 2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1 2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escargas/Dashboard-de-Capacitacion-4.xlsx" TargetMode="External"/><Relationship Id="rId2" Type="http://schemas.openxmlformats.org/officeDocument/2006/relationships/externalLinkPath" Target="file:///D:\Descargas\Dashboard-de-Capacitacion-4.xlsx" TargetMode="External"/><Relationship Id="rId1" Type="http://schemas.openxmlformats.org/officeDocument/2006/relationships/externalLinkPath" Target="/Descargas/Dashboard-de-Capacitacion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Data"/>
      <sheetName val="Calculos"/>
      <sheetName val="Hoja3"/>
    </sheetNames>
    <sheetDataSet>
      <sheetData sheetId="0" refreshError="1"/>
      <sheetData sheetId="1" refreshError="1"/>
      <sheetData sheetId="2">
        <row r="11">
          <cell r="C11" t="str">
            <v>Agricola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zib" refreshedDate="46150.768563310186" createdVersion="8" refreshedVersion="8" minRefreshableVersion="3" recordCount="1000" xr:uid="{E59B9325-6362-4D5B-9D0C-40C8332B4FB6}">
  <cacheSource type="worksheet">
    <worksheetSource name="VW_Alumnos_Normalizados"/>
  </cacheSource>
  <cacheFields count="8">
    <cacheField name="AlumnoID" numFmtId="0">
      <sharedItems containsSemiMixedTypes="0" containsString="0" containsNumber="1" containsInteger="1" minValue="1" maxValue="1000" count="1000">
        <n v="6"/>
        <n v="19"/>
        <n v="31"/>
        <n v="39"/>
        <n v="41"/>
        <n v="44"/>
        <n v="74"/>
        <n v="81"/>
        <n v="92"/>
        <n v="146"/>
        <n v="147"/>
        <n v="158"/>
        <n v="162"/>
        <n v="168"/>
        <n v="177"/>
        <n v="179"/>
        <n v="184"/>
        <n v="189"/>
        <n v="201"/>
        <n v="227"/>
        <n v="240"/>
        <n v="244"/>
        <n v="246"/>
        <n v="251"/>
        <n v="252"/>
        <n v="260"/>
        <n v="261"/>
        <n v="301"/>
        <n v="330"/>
        <n v="346"/>
        <n v="348"/>
        <n v="379"/>
        <n v="387"/>
        <n v="388"/>
        <n v="409"/>
        <n v="416"/>
        <n v="428"/>
        <n v="432"/>
        <n v="443"/>
        <n v="445"/>
        <n v="467"/>
        <n v="470"/>
        <n v="494"/>
        <n v="520"/>
        <n v="560"/>
        <n v="591"/>
        <n v="601"/>
        <n v="633"/>
        <n v="636"/>
        <n v="638"/>
        <n v="662"/>
        <n v="692"/>
        <n v="704"/>
        <n v="710"/>
        <n v="728"/>
        <n v="731"/>
        <n v="742"/>
        <n v="748"/>
        <n v="774"/>
        <n v="776"/>
        <n v="783"/>
        <n v="801"/>
        <n v="803"/>
        <n v="807"/>
        <n v="833"/>
        <n v="834"/>
        <n v="835"/>
        <n v="850"/>
        <n v="854"/>
        <n v="883"/>
        <n v="914"/>
        <n v="947"/>
        <n v="958"/>
        <n v="61"/>
        <n v="66"/>
        <n v="68"/>
        <n v="77"/>
        <n v="97"/>
        <n v="124"/>
        <n v="153"/>
        <n v="155"/>
        <n v="166"/>
        <n v="172"/>
        <n v="196"/>
        <n v="265"/>
        <n v="285"/>
        <n v="291"/>
        <n v="302"/>
        <n v="305"/>
        <n v="307"/>
        <n v="311"/>
        <n v="326"/>
        <n v="342"/>
        <n v="370"/>
        <n v="385"/>
        <n v="403"/>
        <n v="431"/>
        <n v="438"/>
        <n v="449"/>
        <n v="469"/>
        <n v="476"/>
        <n v="482"/>
        <n v="509"/>
        <n v="522"/>
        <n v="534"/>
        <n v="553"/>
        <n v="569"/>
        <n v="579"/>
        <n v="588"/>
        <n v="589"/>
        <n v="606"/>
        <n v="624"/>
        <n v="627"/>
        <n v="629"/>
        <n v="634"/>
        <n v="643"/>
        <n v="656"/>
        <n v="660"/>
        <n v="686"/>
        <n v="687"/>
        <n v="695"/>
        <n v="707"/>
        <n v="716"/>
        <n v="725"/>
        <n v="750"/>
        <n v="754"/>
        <n v="756"/>
        <n v="787"/>
        <n v="802"/>
        <n v="861"/>
        <n v="872"/>
        <n v="873"/>
        <n v="884"/>
        <n v="892"/>
        <n v="905"/>
        <n v="913"/>
        <n v="935"/>
        <n v="970"/>
        <n v="991"/>
        <n v="3"/>
        <n v="10"/>
        <n v="16"/>
        <n v="32"/>
        <n v="43"/>
        <n v="46"/>
        <n v="54"/>
        <n v="78"/>
        <n v="80"/>
        <n v="82"/>
        <n v="91"/>
        <n v="99"/>
        <n v="101"/>
        <n v="102"/>
        <n v="115"/>
        <n v="116"/>
        <n v="129"/>
        <n v="130"/>
        <n v="134"/>
        <n v="143"/>
        <n v="150"/>
        <n v="154"/>
        <n v="156"/>
        <n v="171"/>
        <n v="174"/>
        <n v="198"/>
        <n v="203"/>
        <n v="205"/>
        <n v="215"/>
        <n v="226"/>
        <n v="270"/>
        <n v="279"/>
        <n v="287"/>
        <n v="295"/>
        <n v="298"/>
        <n v="304"/>
        <n v="314"/>
        <n v="339"/>
        <n v="356"/>
        <n v="360"/>
        <n v="362"/>
        <n v="373"/>
        <n v="374"/>
        <n v="378"/>
        <n v="402"/>
        <n v="422"/>
        <n v="436"/>
        <n v="452"/>
        <n v="461"/>
        <n v="468"/>
        <n v="487"/>
        <n v="491"/>
        <n v="493"/>
        <n v="510"/>
        <n v="528"/>
        <n v="535"/>
        <n v="537"/>
        <n v="540"/>
        <n v="546"/>
        <n v="554"/>
        <n v="563"/>
        <n v="581"/>
        <n v="585"/>
        <n v="597"/>
        <n v="604"/>
        <n v="605"/>
        <n v="607"/>
        <n v="617"/>
        <n v="639"/>
        <n v="652"/>
        <n v="654"/>
        <n v="670"/>
        <n v="672"/>
        <n v="679"/>
        <n v="680"/>
        <n v="688"/>
        <n v="703"/>
        <n v="709"/>
        <n v="722"/>
        <n v="726"/>
        <n v="733"/>
        <n v="736"/>
        <n v="746"/>
        <n v="749"/>
        <n v="751"/>
        <n v="753"/>
        <n v="758"/>
        <n v="762"/>
        <n v="770"/>
        <n v="773"/>
        <n v="782"/>
        <n v="784"/>
        <n v="798"/>
        <n v="805"/>
        <n v="809"/>
        <n v="826"/>
        <n v="840"/>
        <n v="844"/>
        <n v="860"/>
        <n v="862"/>
        <n v="863"/>
        <n v="876"/>
        <n v="907"/>
        <n v="933"/>
        <n v="944"/>
        <n v="951"/>
        <n v="964"/>
        <n v="969"/>
        <n v="973"/>
        <n v="978"/>
        <n v="979"/>
        <n v="980"/>
        <n v="989"/>
        <n v="2"/>
        <n v="9"/>
        <n v="28"/>
        <n v="36"/>
        <n v="57"/>
        <n v="90"/>
        <n v="104"/>
        <n v="108"/>
        <n v="113"/>
        <n v="118"/>
        <n v="122"/>
        <n v="127"/>
        <n v="138"/>
        <n v="140"/>
        <n v="144"/>
        <n v="145"/>
        <n v="160"/>
        <n v="180"/>
        <n v="183"/>
        <n v="193"/>
        <n v="194"/>
        <n v="200"/>
        <n v="211"/>
        <n v="217"/>
        <n v="233"/>
        <n v="237"/>
        <n v="239"/>
        <n v="241"/>
        <n v="242"/>
        <n v="255"/>
        <n v="256"/>
        <n v="259"/>
        <n v="262"/>
        <n v="267"/>
        <n v="275"/>
        <n v="277"/>
        <n v="288"/>
        <n v="292"/>
        <n v="315"/>
        <n v="317"/>
        <n v="321"/>
        <n v="322"/>
        <n v="333"/>
        <n v="335"/>
        <n v="365"/>
        <n v="391"/>
        <n v="395"/>
        <n v="410"/>
        <n v="413"/>
        <n v="417"/>
        <n v="419"/>
        <n v="420"/>
        <n v="421"/>
        <n v="425"/>
        <n v="426"/>
        <n v="427"/>
        <n v="429"/>
        <n v="446"/>
        <n v="457"/>
        <n v="459"/>
        <n v="472"/>
        <n v="480"/>
        <n v="484"/>
        <n v="486"/>
        <n v="505"/>
        <n v="506"/>
        <n v="512"/>
        <n v="513"/>
        <n v="516"/>
        <n v="518"/>
        <n v="523"/>
        <n v="524"/>
        <n v="530"/>
        <n v="536"/>
        <n v="548"/>
        <n v="561"/>
        <n v="564"/>
        <n v="565"/>
        <n v="567"/>
        <n v="570"/>
        <n v="596"/>
        <n v="608"/>
        <n v="616"/>
        <n v="618"/>
        <n v="622"/>
        <n v="628"/>
        <n v="635"/>
        <n v="650"/>
        <n v="663"/>
        <n v="664"/>
        <n v="671"/>
        <n v="674"/>
        <n v="691"/>
        <n v="715"/>
        <n v="724"/>
        <n v="730"/>
        <n v="737"/>
        <n v="739"/>
        <n v="741"/>
        <n v="759"/>
        <n v="761"/>
        <n v="766"/>
        <n v="768"/>
        <n v="777"/>
        <n v="789"/>
        <n v="792"/>
        <n v="808"/>
        <n v="812"/>
        <n v="814"/>
        <n v="816"/>
        <n v="823"/>
        <n v="831"/>
        <n v="845"/>
        <n v="855"/>
        <n v="890"/>
        <n v="895"/>
        <n v="910"/>
        <n v="911"/>
        <n v="921"/>
        <n v="925"/>
        <n v="928"/>
        <n v="929"/>
        <n v="931"/>
        <n v="937"/>
        <n v="939"/>
        <n v="940"/>
        <n v="941"/>
        <n v="952"/>
        <n v="957"/>
        <n v="962"/>
        <n v="965"/>
        <n v="967"/>
        <n v="981"/>
        <n v="985"/>
        <n v="988"/>
        <n v="998"/>
        <n v="11"/>
        <n v="55"/>
        <n v="64"/>
        <n v="75"/>
        <n v="76"/>
        <n v="86"/>
        <n v="87"/>
        <n v="106"/>
        <n v="123"/>
        <n v="125"/>
        <n v="131"/>
        <n v="137"/>
        <n v="165"/>
        <n v="178"/>
        <n v="182"/>
        <n v="187"/>
        <n v="216"/>
        <n v="219"/>
        <n v="230"/>
        <n v="243"/>
        <n v="248"/>
        <n v="253"/>
        <n v="274"/>
        <n v="281"/>
        <n v="300"/>
        <n v="318"/>
        <n v="323"/>
        <n v="337"/>
        <n v="347"/>
        <n v="359"/>
        <n v="369"/>
        <n v="377"/>
        <n v="478"/>
        <n v="479"/>
        <n v="500"/>
        <n v="501"/>
        <n v="531"/>
        <n v="644"/>
        <n v="648"/>
        <n v="667"/>
        <n v="668"/>
        <n v="701"/>
        <n v="713"/>
        <n v="720"/>
        <n v="755"/>
        <n v="765"/>
        <n v="780"/>
        <n v="786"/>
        <n v="793"/>
        <n v="804"/>
        <n v="836"/>
        <n v="858"/>
        <n v="867"/>
        <n v="871"/>
        <n v="886"/>
        <n v="889"/>
        <n v="894"/>
        <n v="898"/>
        <n v="900"/>
        <n v="909"/>
        <n v="943"/>
        <n v="975"/>
        <n v="982"/>
        <n v="995"/>
        <n v="4"/>
        <n v="7"/>
        <n v="8"/>
        <n v="12"/>
        <n v="27"/>
        <n v="30"/>
        <n v="38"/>
        <n v="42"/>
        <n v="45"/>
        <n v="52"/>
        <n v="58"/>
        <n v="60"/>
        <n v="70"/>
        <n v="89"/>
        <n v="94"/>
        <n v="107"/>
        <n v="111"/>
        <n v="114"/>
        <n v="126"/>
        <n v="133"/>
        <n v="139"/>
        <n v="142"/>
        <n v="152"/>
        <n v="161"/>
        <n v="169"/>
        <n v="173"/>
        <n v="186"/>
        <n v="188"/>
        <n v="190"/>
        <n v="192"/>
        <n v="206"/>
        <n v="208"/>
        <n v="210"/>
        <n v="231"/>
        <n v="238"/>
        <n v="247"/>
        <n v="250"/>
        <n v="258"/>
        <n v="276"/>
        <n v="280"/>
        <n v="289"/>
        <n v="290"/>
        <n v="296"/>
        <n v="299"/>
        <n v="303"/>
        <n v="306"/>
        <n v="309"/>
        <n v="312"/>
        <n v="324"/>
        <n v="325"/>
        <n v="327"/>
        <n v="336"/>
        <n v="340"/>
        <n v="341"/>
        <n v="350"/>
        <n v="352"/>
        <n v="364"/>
        <n v="367"/>
        <n v="375"/>
        <n v="382"/>
        <n v="396"/>
        <n v="397"/>
        <n v="399"/>
        <n v="401"/>
        <n v="407"/>
        <n v="411"/>
        <n v="412"/>
        <n v="415"/>
        <n v="418"/>
        <n v="424"/>
        <n v="430"/>
        <n v="433"/>
        <n v="440"/>
        <n v="441"/>
        <n v="454"/>
        <n v="463"/>
        <n v="471"/>
        <n v="485"/>
        <n v="492"/>
        <n v="495"/>
        <n v="499"/>
        <n v="504"/>
        <n v="517"/>
        <n v="519"/>
        <n v="527"/>
        <n v="529"/>
        <n v="532"/>
        <n v="533"/>
        <n v="555"/>
        <n v="557"/>
        <n v="562"/>
        <n v="568"/>
        <n v="575"/>
        <n v="577"/>
        <n v="584"/>
        <n v="587"/>
        <n v="598"/>
        <n v="600"/>
        <n v="602"/>
        <n v="612"/>
        <n v="615"/>
        <n v="640"/>
        <n v="647"/>
        <n v="659"/>
        <n v="665"/>
        <n v="673"/>
        <n v="677"/>
        <n v="683"/>
        <n v="684"/>
        <n v="690"/>
        <n v="693"/>
        <n v="702"/>
        <n v="706"/>
        <n v="708"/>
        <n v="711"/>
        <n v="718"/>
        <n v="719"/>
        <n v="729"/>
        <n v="738"/>
        <n v="744"/>
        <n v="745"/>
        <n v="769"/>
        <n v="771"/>
        <n v="772"/>
        <n v="778"/>
        <n v="794"/>
        <n v="796"/>
        <n v="797"/>
        <n v="799"/>
        <n v="810"/>
        <n v="811"/>
        <n v="813"/>
        <n v="818"/>
        <n v="820"/>
        <n v="821"/>
        <n v="824"/>
        <n v="825"/>
        <n v="827"/>
        <n v="828"/>
        <n v="838"/>
        <n v="841"/>
        <n v="842"/>
        <n v="846"/>
        <n v="849"/>
        <n v="851"/>
        <n v="852"/>
        <n v="859"/>
        <n v="864"/>
        <n v="865"/>
        <n v="870"/>
        <n v="877"/>
        <n v="879"/>
        <n v="897"/>
        <n v="902"/>
        <n v="906"/>
        <n v="912"/>
        <n v="917"/>
        <n v="918"/>
        <n v="922"/>
        <n v="934"/>
        <n v="938"/>
        <n v="942"/>
        <n v="945"/>
        <n v="946"/>
        <n v="968"/>
        <n v="971"/>
        <n v="972"/>
        <n v="984"/>
        <n v="993"/>
        <n v="997"/>
        <n v="1"/>
        <n v="15"/>
        <n v="20"/>
        <n v="25"/>
        <n v="33"/>
        <n v="34"/>
        <n v="35"/>
        <n v="48"/>
        <n v="59"/>
        <n v="71"/>
        <n v="79"/>
        <n v="83"/>
        <n v="85"/>
        <n v="117"/>
        <n v="119"/>
        <n v="148"/>
        <n v="149"/>
        <n v="163"/>
        <n v="167"/>
        <n v="185"/>
        <n v="207"/>
        <n v="213"/>
        <n v="220"/>
        <n v="222"/>
        <n v="223"/>
        <n v="224"/>
        <n v="229"/>
        <n v="235"/>
        <n v="245"/>
        <n v="254"/>
        <n v="257"/>
        <n v="264"/>
        <n v="269"/>
        <n v="313"/>
        <n v="316"/>
        <n v="319"/>
        <n v="328"/>
        <n v="332"/>
        <n v="345"/>
        <n v="349"/>
        <n v="361"/>
        <n v="372"/>
        <n v="376"/>
        <n v="380"/>
        <n v="383"/>
        <n v="384"/>
        <n v="389"/>
        <n v="390"/>
        <n v="400"/>
        <n v="437"/>
        <n v="444"/>
        <n v="455"/>
        <n v="460"/>
        <n v="462"/>
        <n v="507"/>
        <n v="521"/>
        <n v="538"/>
        <n v="539"/>
        <n v="544"/>
        <n v="545"/>
        <n v="549"/>
        <n v="556"/>
        <n v="573"/>
        <n v="576"/>
        <n v="580"/>
        <n v="592"/>
        <n v="594"/>
        <n v="614"/>
        <n v="626"/>
        <n v="641"/>
        <n v="645"/>
        <n v="651"/>
        <n v="653"/>
        <n v="655"/>
        <n v="669"/>
        <n v="689"/>
        <n v="698"/>
        <n v="712"/>
        <n v="740"/>
        <n v="747"/>
        <n v="752"/>
        <n v="760"/>
        <n v="763"/>
        <n v="767"/>
        <n v="781"/>
        <n v="795"/>
        <n v="817"/>
        <n v="822"/>
        <n v="832"/>
        <n v="837"/>
        <n v="839"/>
        <n v="847"/>
        <n v="856"/>
        <n v="866"/>
        <n v="875"/>
        <n v="885"/>
        <n v="901"/>
        <n v="904"/>
        <n v="926"/>
        <n v="949"/>
        <n v="950"/>
        <n v="954"/>
        <n v="966"/>
        <n v="990"/>
        <n v="996"/>
        <n v="999"/>
        <n v="13"/>
        <n v="29"/>
        <n v="40"/>
        <n v="49"/>
        <n v="53"/>
        <n v="65"/>
        <n v="67"/>
        <n v="69"/>
        <n v="73"/>
        <n v="100"/>
        <n v="105"/>
        <n v="109"/>
        <n v="110"/>
        <n v="112"/>
        <n v="121"/>
        <n v="135"/>
        <n v="151"/>
        <n v="170"/>
        <n v="181"/>
        <n v="191"/>
        <n v="195"/>
        <n v="199"/>
        <n v="202"/>
        <n v="204"/>
        <n v="221"/>
        <n v="232"/>
        <n v="271"/>
        <n v="273"/>
        <n v="293"/>
        <n v="331"/>
        <n v="343"/>
        <n v="366"/>
        <n v="386"/>
        <n v="393"/>
        <n v="434"/>
        <n v="435"/>
        <n v="465"/>
        <n v="473"/>
        <n v="474"/>
        <n v="477"/>
        <n v="483"/>
        <n v="498"/>
        <n v="508"/>
        <n v="511"/>
        <n v="526"/>
        <n v="541"/>
        <n v="542"/>
        <n v="572"/>
        <n v="590"/>
        <n v="593"/>
        <n v="595"/>
        <n v="609"/>
        <n v="611"/>
        <n v="613"/>
        <n v="623"/>
        <n v="625"/>
        <n v="637"/>
        <n v="661"/>
        <n v="666"/>
        <n v="675"/>
        <n v="678"/>
        <n v="681"/>
        <n v="682"/>
        <n v="685"/>
        <n v="700"/>
        <n v="723"/>
        <n v="727"/>
        <n v="732"/>
        <n v="734"/>
        <n v="735"/>
        <n v="779"/>
        <n v="788"/>
        <n v="791"/>
        <n v="806"/>
        <n v="815"/>
        <n v="853"/>
        <n v="881"/>
        <n v="882"/>
        <n v="887"/>
        <n v="888"/>
        <n v="896"/>
        <n v="916"/>
        <n v="924"/>
        <n v="927"/>
        <n v="930"/>
        <n v="936"/>
        <n v="948"/>
        <n v="953"/>
        <n v="960"/>
        <n v="986"/>
        <n v="987"/>
        <n v="992"/>
        <n v="994"/>
        <n v="5"/>
        <n v="17"/>
        <n v="21"/>
        <n v="26"/>
        <n v="37"/>
        <n v="51"/>
        <n v="56"/>
        <n v="62"/>
        <n v="72"/>
        <n v="88"/>
        <n v="98"/>
        <n v="103"/>
        <n v="132"/>
        <n v="136"/>
        <n v="157"/>
        <n v="175"/>
        <n v="176"/>
        <n v="209"/>
        <n v="225"/>
        <n v="228"/>
        <n v="236"/>
        <n v="249"/>
        <n v="278"/>
        <n v="284"/>
        <n v="329"/>
        <n v="344"/>
        <n v="351"/>
        <n v="353"/>
        <n v="368"/>
        <n v="381"/>
        <n v="394"/>
        <n v="398"/>
        <n v="408"/>
        <n v="423"/>
        <n v="447"/>
        <n v="451"/>
        <n v="456"/>
        <n v="458"/>
        <n v="466"/>
        <n v="475"/>
        <n v="481"/>
        <n v="496"/>
        <n v="503"/>
        <n v="525"/>
        <n v="543"/>
        <n v="547"/>
        <n v="550"/>
        <n v="551"/>
        <n v="558"/>
        <n v="566"/>
        <n v="571"/>
        <n v="574"/>
        <n v="582"/>
        <n v="583"/>
        <n v="619"/>
        <n v="621"/>
        <n v="630"/>
        <n v="632"/>
        <n v="642"/>
        <n v="657"/>
        <n v="658"/>
        <n v="696"/>
        <n v="699"/>
        <n v="717"/>
        <n v="785"/>
        <n v="800"/>
        <n v="829"/>
        <n v="843"/>
        <n v="848"/>
        <n v="857"/>
        <n v="869"/>
        <n v="874"/>
        <n v="899"/>
        <n v="919"/>
        <n v="955"/>
        <n v="963"/>
        <n v="976"/>
        <n v="1000"/>
        <n v="18"/>
        <n v="22"/>
        <n v="23"/>
        <n v="24"/>
        <n v="47"/>
        <n v="50"/>
        <n v="63"/>
        <n v="93"/>
        <n v="95"/>
        <n v="96"/>
        <n v="120"/>
        <n v="128"/>
        <n v="141"/>
        <n v="164"/>
        <n v="197"/>
        <n v="212"/>
        <n v="214"/>
        <n v="218"/>
        <n v="234"/>
        <n v="263"/>
        <n v="266"/>
        <n v="272"/>
        <n v="282"/>
        <n v="283"/>
        <n v="286"/>
        <n v="294"/>
        <n v="297"/>
        <n v="310"/>
        <n v="320"/>
        <n v="338"/>
        <n v="354"/>
        <n v="355"/>
        <n v="357"/>
        <n v="358"/>
        <n v="363"/>
        <n v="371"/>
        <n v="392"/>
        <n v="404"/>
        <n v="405"/>
        <n v="406"/>
        <n v="414"/>
        <n v="439"/>
        <n v="442"/>
        <n v="448"/>
        <n v="450"/>
        <n v="488"/>
        <n v="489"/>
        <n v="490"/>
        <n v="497"/>
        <n v="502"/>
        <n v="514"/>
        <n v="515"/>
        <n v="552"/>
        <n v="559"/>
        <n v="578"/>
        <n v="586"/>
        <n v="599"/>
        <n v="610"/>
        <n v="631"/>
        <n v="646"/>
        <n v="649"/>
        <n v="676"/>
        <n v="694"/>
        <n v="697"/>
        <n v="714"/>
        <n v="721"/>
        <n v="764"/>
        <n v="775"/>
        <n v="790"/>
        <n v="819"/>
        <n v="830"/>
        <n v="878"/>
        <n v="880"/>
        <n v="891"/>
        <n v="893"/>
        <n v="903"/>
        <n v="908"/>
        <n v="915"/>
        <n v="920"/>
        <n v="923"/>
        <n v="932"/>
        <n v="956"/>
        <n v="959"/>
        <n v="961"/>
        <n v="974"/>
        <n v="977"/>
        <n v="983"/>
        <n v="14"/>
        <n v="84"/>
        <n v="159"/>
        <n v="268"/>
        <n v="308"/>
        <n v="334"/>
        <n v="453"/>
        <n v="464"/>
        <n v="603"/>
        <n v="620"/>
        <n v="705"/>
        <n v="743"/>
        <n v="757"/>
        <n v="868"/>
      </sharedItems>
    </cacheField>
    <cacheField name="Nombre" numFmtId="0">
      <sharedItems/>
    </cacheField>
    <cacheField name="Carrera" numFmtId="0">
      <sharedItems count="4">
        <s v="Derecho Penal"/>
        <s v="Cálculo Avanzado"/>
        <s v="Ingeniería en Sistemas"/>
        <s v="Contaduría Pública"/>
      </sharedItems>
    </cacheField>
    <cacheField name="Facultad" numFmtId="0">
      <sharedItems count="4">
        <s v="Humanidades"/>
        <s v="Ciencias Exactas"/>
        <s v="Facultad de Ingeniería"/>
        <s v="Administración"/>
      </sharedItems>
    </cacheField>
    <cacheField name="FechaIngreso" numFmtId="14">
      <sharedItems containsSemiMixedTypes="0" containsNonDate="0" containsDate="1" containsString="0" minDate="2024-12-23T00:00:00" maxDate="2026-05-07T00:00:00"/>
    </cacheField>
    <cacheField name="EstatusAcademico" numFmtId="0">
      <sharedItems count="4">
        <s v="Activo"/>
        <s v="Pendiente"/>
        <s v="Regular"/>
        <s v="Baja_temp"/>
      </sharedItems>
    </cacheField>
    <cacheField name="PromedioHistorico" numFmtId="0">
      <sharedItems containsSemiMixedTypes="0" containsString="0" containsNumber="1" minValue="70.040000000000006" maxValue="99.97"/>
    </cacheField>
    <cacheField name="Generacion" numFmtId="0">
      <sharedItems containsSemiMixedTypes="0" containsString="0" containsNumber="1" containsInteger="1" minValue="2024" maxValue="2026" count="3">
        <n v="2025"/>
        <n v="2026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zib" refreshedDate="46150.771641782405" createdVersion="8" refreshedVersion="8" minRefreshableVersion="3" recordCount="8" xr:uid="{46ABBD03-B88D-4D06-864D-5CF9C6FC2962}">
  <cacheSource type="worksheet">
    <worksheetSource name="Departamentos"/>
  </cacheSource>
  <cacheFields count="4">
    <cacheField name="DeptoI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ombre" numFmtId="0">
      <sharedItems count="8">
        <s v="Facultad de Ingeniería"/>
        <s v="Ciencias Exactas"/>
        <s v="Administración"/>
        <s v="Humanidades"/>
        <s v="Facultad de Medicina"/>
        <s v="Ciencias Sociales"/>
        <s v="Diseño y Arquitectura"/>
        <s v="Idiomas"/>
      </sharedItems>
    </cacheField>
    <cacheField name="PresupuestoAnual" numFmtId="0">
      <sharedItems containsSemiMixedTypes="0" containsString="0" containsNumber="1" containsInteger="1" minValue="150000" maxValue="800000"/>
    </cacheField>
    <cacheField name="CreatedAt" numFmtId="22">
      <sharedItems containsSemiMixedTypes="0" containsNonDate="0" containsDate="1" containsString="0" minDate="2026-05-07T05:16:07" maxDate="2026-05-07T05:18:35" count="2">
        <d v="2026-05-07T05:16:07"/>
        <d v="2026-05-07T05:18: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zib" refreshedDate="46150.700186458336" backgroundQuery="1" createdVersion="8" refreshedVersion="8" minRefreshableVersion="3" recordCount="0" supportSubquery="1" supportAdvancedDrill="1" xr:uid="{56739711-5BDA-4534-8F16-762D2E91C5F1}">
  <cacheSource type="external" connectionId="5"/>
  <cacheFields count="6">
    <cacheField name="[VW_Alumnos_Normalizados].[AlumnoID].[AlumnoID]" caption="AlumnoID" numFmtId="0" hierarchy="4" level="1">
      <sharedItems containsSemiMixedTypes="0" containsNonDate="0" containsString="0"/>
    </cacheField>
    <cacheField name="[VW_Alumnos_Normalizados].[Carrera].[Carrera]" caption="Carrera" numFmtId="0" hierarchy="6" level="1">
      <sharedItems count="4">
        <s v="Contaduría Pública"/>
        <s v="Cálculo Avanzado"/>
        <s v="Ingeniería en Sistemas"/>
        <s v="Derecho Penal"/>
      </sharedItems>
    </cacheField>
    <cacheField name="[VW_Alumnos_Normalizados].[Facultad].[Facultad]" caption="Facultad" numFmtId="0" hierarchy="7" level="1">
      <sharedItems count="4">
        <s v="Administración"/>
        <s v="Ciencias Exactas"/>
        <s v="Facultad de Ingeniería"/>
        <s v="Humanidades"/>
      </sharedItems>
    </cacheField>
    <cacheField name="[VW_Alumnos_Normalizados].[Generacion].[Generacion]" caption="Generacion" numFmtId="0" hierarchy="11" level="1">
      <sharedItems containsSemiMixedTypes="0" containsString="0" containsNumber="1" containsInteger="1" minValue="2024" maxValue="2026" count="3"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VW_Alumnos_Normalizados].[Generacion].&amp;[2024]"/>
            <x15:cachedUniqueName index="1" name="[VW_Alumnos_Normalizados].[Generacion].&amp;[2025]"/>
            <x15:cachedUniqueName index="2" name="[VW_Alumnos_Normalizados].[Generacion].&amp;[2026]"/>
          </x15:cachedUniqueNames>
        </ext>
      </extLst>
    </cacheField>
    <cacheField name="[VW_Alumnos_Normalizados].[EstatusAcademico].[EstatusAcademico]" caption="EstatusAcademico" numFmtId="0" hierarchy="9" level="1">
      <sharedItems count="4">
        <s v="Activo"/>
        <s v="Baja_temp"/>
        <s v="Pendiente"/>
        <s v="Regular"/>
      </sharedItems>
    </cacheField>
    <cacheField name="[Measures].[Promedio de PromedioHistorico]" caption="Promedio de PromedioHistorico" numFmtId="0" hierarchy="16" level="32767"/>
  </cacheFields>
  <cacheHierarchies count="22">
    <cacheHierarchy uniqueName="[Departamentos].[DeptoID]" caption="DeptoID" attribute="1" defaultMemberUniqueName="[Departamentos].[DeptoID].[All]" allUniqueName="[Departamentos].[DeptoID].[All]" dimensionUniqueName="[Departamentos]" displayFolder="" count="0" memberValueDatatype="20" unbalanced="0"/>
    <cacheHierarchy uniqueName="[Departamentos].[Nombre]" caption="Nombre" attribute="1" defaultMemberUniqueName="[Departamentos].[Nombre].[All]" allUniqueName="[Departamentos].[Nombre].[All]" dimensionUniqueName="[Departamentos]" displayFolder="" count="0" memberValueDatatype="130" unbalanced="0"/>
    <cacheHierarchy uniqueName="[Departamentos].[PresupuestoAnual]" caption="PresupuestoAnual" attribute="1" defaultMemberUniqueName="[Departamentos].[PresupuestoAnual].[All]" allUniqueName="[Departamentos].[PresupuestoAnual].[All]" dimensionUniqueName="[Departamentos]" displayFolder="" count="0" memberValueDatatype="5" unbalanced="0"/>
    <cacheHierarchy uniqueName="[Departamentos].[CreatedAt]" caption="CreatedAt" attribute="1" time="1" defaultMemberUniqueName="[Departamentos].[CreatedAt].[All]" allUniqueName="[Departamentos].[CreatedAt].[All]" dimensionUniqueName="[Departamentos]" displayFolder="" count="0" memberValueDatatype="7" unbalanced="0"/>
    <cacheHierarchy uniqueName="[VW_Alumnos_Normalizados].[AlumnoID]" caption="AlumnoID" attribute="1" defaultMemberUniqueName="[VW_Alumnos_Normalizados].[AlumnoID].[All]" allUniqueName="[VW_Alumnos_Normalizados].[AlumnoID].[All]" dimensionUniqueName="[VW_Alumnos_Normalizados]" displayFolder="" count="2" memberValueDatatype="20" unbalanced="0">
      <fieldsUsage count="2">
        <fieldUsage x="-1"/>
        <fieldUsage x="0"/>
      </fieldsUsage>
    </cacheHierarchy>
    <cacheHierarchy uniqueName="[VW_Alumnos_Normalizados].[Nombre]" caption="Nombre" attribute="1" defaultMemberUniqueName="[VW_Alumnos_Normalizados].[Nombre].[All]" allUniqueName="[VW_Alumnos_Normalizados].[Nombre].[All]" dimensionUniqueName="[VW_Alumnos_Normalizados]" displayFolder="" count="0" memberValueDatatype="130" unbalanced="0"/>
    <cacheHierarchy uniqueName="[VW_Alumnos_Normalizados].[Carrera]" caption="Carrera" attribute="1" defaultMemberUniqueName="[VW_Alumnos_Normalizados].[Carrera].[All]" allUniqueName="[VW_Alumnos_Normalizados].[Carrera].[All]" dimensionUniqueName="[VW_Alumnos_Normalizados]" displayFolder="" count="2" memberValueDatatype="130" unbalanced="0">
      <fieldsUsage count="2">
        <fieldUsage x="-1"/>
        <fieldUsage x="1"/>
      </fieldsUsage>
    </cacheHierarchy>
    <cacheHierarchy uniqueName="[VW_Alumnos_Normalizados].[Facultad]" caption="Facultad" attribute="1" defaultMemberUniqueName="[VW_Alumnos_Normalizados].[Facultad].[All]" allUniqueName="[VW_Alumnos_Normalizados].[Facultad].[All]" dimensionUniqueName="[VW_Alumnos_Normalizados]" displayFolder="" count="2" memberValueDatatype="130" unbalanced="0">
      <fieldsUsage count="2">
        <fieldUsage x="-1"/>
        <fieldUsage x="2"/>
      </fieldsUsage>
    </cacheHierarchy>
    <cacheHierarchy uniqueName="[VW_Alumnos_Normalizados].[FechaIngreso]" caption="FechaIngreso" attribute="1" time="1" defaultMemberUniqueName="[VW_Alumnos_Normalizados].[FechaIngreso].[All]" allUniqueName="[VW_Alumnos_Normalizados].[FechaIngreso].[All]" dimensionUniqueName="[VW_Alumnos_Normalizados]" displayFolder="" count="0" memberValueDatatype="7" unbalanced="0"/>
    <cacheHierarchy uniqueName="[VW_Alumnos_Normalizados].[EstatusAcademico]" caption="EstatusAcademico" attribute="1" defaultMemberUniqueName="[VW_Alumnos_Normalizados].[EstatusAcademico].[All]" allUniqueName="[VW_Alumnos_Normalizados].[EstatusAcademico].[All]" dimensionUniqueName="[VW_Alumnos_Normalizados]" displayFolder="" count="2" memberValueDatatype="130" unbalanced="0">
      <fieldsUsage count="2">
        <fieldUsage x="-1"/>
        <fieldUsage x="4"/>
      </fieldsUsage>
    </cacheHierarchy>
    <cacheHierarchy uniqueName="[VW_Alumnos_Normalizados].[PromedioHistorico]" caption="PromedioHistorico" attribute="1" defaultMemberUniqueName="[VW_Alumnos_Normalizados].[PromedioHistorico].[All]" allUniqueName="[VW_Alumnos_Normalizados].[PromedioHistorico].[All]" dimensionUniqueName="[VW_Alumnos_Normalizados]" displayFolder="" count="0" memberValueDatatype="5" unbalanced="0"/>
    <cacheHierarchy uniqueName="[VW_Alumnos_Normalizados].[Generacion]" caption="Generacion" attribute="1" defaultMemberUniqueName="[VW_Alumnos_Normalizados].[Generacion].[All]" allUniqueName="[VW_Alumnos_Normalizados].[Generacion].[All]" dimensionUniqueName="[VW_Alumnos_Normalizados]" displayFolder="" count="2" memberValueDatatype="20" unbalanced="0">
      <fieldsUsage count="2">
        <fieldUsage x="-1"/>
        <fieldUsage x="3"/>
      </fieldsUsage>
    </cacheHierarchy>
    <cacheHierarchy uniqueName="[Measures].[__XL_Count VW_Alumnos_Normalizados]" caption="__XL_Count VW_Alumnos_Normalizados" measure="1" displayFolder="" measureGroup="VW_Alumnos_Normalizados" count="0" hidden="1"/>
    <cacheHierarchy uniqueName="[Measures].[__XL_Count Departamentos]" caption="__XL_Count Departamentos" measure="1" displayFolder="" measureGroup="Departamentos" count="0" hidden="1"/>
    <cacheHierarchy uniqueName="[Measures].[__No measures defined]" caption="__No measures defined" measure="1" displayFolder="" count="0" hidden="1"/>
    <cacheHierarchy uniqueName="[Measures].[Suma de PromedioHistorico]" caption="Suma de PromedioHistorico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omedioHistorico]" caption="Promedio de PromedioHistorico" measure="1" displayFolder="" measureGroup="VW_Alumnos_Normalizado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Carrera]" caption="Recuento de Carrera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istinto de Carrera]" caption="Recuento distinto de Carrera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PromedioHistorico]" caption="Recuento de PromedioHistorico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istinto de PromedioHistorico]" caption="Recuento distinto de PromedioHistorico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ín. de PromedioHistorico]" caption="Mín. de PromedioHistorico" measure="1" displayFolder="" measureGroup="VW_Alumnos_Normalizad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epartamentos" uniqueName="[Departamentos]" caption="Departamentos"/>
    <dimension measure="1" name="Measures" uniqueName="[Measures]" caption="Measures"/>
    <dimension name="VW_Alumnos_Normalizados" uniqueName="[VW_Alumnos_Normalizados]" caption="VW_Alumnos_Normalizados"/>
  </dimensions>
  <measureGroups count="2">
    <measureGroup name="Departamentos" caption="Departamentos"/>
    <measureGroup name="VW_Alumnos_Normalizados" caption="VW_Alumnos_Normalizad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User_id_6"/>
    <x v="0"/>
    <x v="0"/>
    <d v="2025-01-29T00:00:00"/>
    <x v="0"/>
    <n v="75.31"/>
    <x v="0"/>
  </r>
  <r>
    <x v="1"/>
    <s v="User_id_19"/>
    <x v="0"/>
    <x v="0"/>
    <d v="2025-04-18T00:00:00"/>
    <x v="0"/>
    <n v="71.34"/>
    <x v="0"/>
  </r>
  <r>
    <x v="2"/>
    <s v="Estudiante_id_31"/>
    <x v="0"/>
    <x v="0"/>
    <d v="2025-03-22T00:00:00"/>
    <x v="0"/>
    <n v="96.19"/>
    <x v="0"/>
  </r>
  <r>
    <x v="3"/>
    <s v="User_id_39"/>
    <x v="0"/>
    <x v="0"/>
    <d v="2025-02-01T00:00:00"/>
    <x v="0"/>
    <n v="97.7"/>
    <x v="0"/>
  </r>
  <r>
    <x v="4"/>
    <s v="Alumno_id_41"/>
    <x v="0"/>
    <x v="0"/>
    <d v="2025-12-27T00:00:00"/>
    <x v="0"/>
    <n v="94.11"/>
    <x v="0"/>
  </r>
  <r>
    <x v="5"/>
    <s v="User_id_44"/>
    <x v="0"/>
    <x v="0"/>
    <d v="2025-11-03T00:00:00"/>
    <x v="0"/>
    <n v="85.46"/>
    <x v="0"/>
  </r>
  <r>
    <x v="6"/>
    <s v="Alumno_id_74"/>
    <x v="0"/>
    <x v="0"/>
    <d v="2025-09-30T00:00:00"/>
    <x v="0"/>
    <n v="81.09"/>
    <x v="0"/>
  </r>
  <r>
    <x v="7"/>
    <s v="Alumno_id_81"/>
    <x v="0"/>
    <x v="0"/>
    <d v="2025-12-10T00:00:00"/>
    <x v="0"/>
    <n v="83.26"/>
    <x v="0"/>
  </r>
  <r>
    <x v="8"/>
    <s v="Estudiante_id_92"/>
    <x v="0"/>
    <x v="0"/>
    <d v="2025-09-29T00:00:00"/>
    <x v="0"/>
    <n v="98.79"/>
    <x v="0"/>
  </r>
  <r>
    <x v="9"/>
    <s v="Estudiante_id_146"/>
    <x v="0"/>
    <x v="0"/>
    <d v="2025-06-08T00:00:00"/>
    <x v="0"/>
    <n v="91"/>
    <x v="0"/>
  </r>
  <r>
    <x v="10"/>
    <s v="Estudiante_id_147"/>
    <x v="0"/>
    <x v="0"/>
    <d v="2025-10-31T00:00:00"/>
    <x v="0"/>
    <n v="86.1"/>
    <x v="0"/>
  </r>
  <r>
    <x v="11"/>
    <s v="Alumno_id_158"/>
    <x v="0"/>
    <x v="0"/>
    <d v="2025-11-17T00:00:00"/>
    <x v="0"/>
    <n v="72.72"/>
    <x v="0"/>
  </r>
  <r>
    <x v="12"/>
    <s v="Candidato_id_162"/>
    <x v="0"/>
    <x v="0"/>
    <d v="2025-09-20T00:00:00"/>
    <x v="0"/>
    <n v="99.68"/>
    <x v="0"/>
  </r>
  <r>
    <x v="13"/>
    <s v="Estudiante_id_168"/>
    <x v="0"/>
    <x v="0"/>
    <d v="2025-03-21T00:00:00"/>
    <x v="0"/>
    <n v="81.790000000000006"/>
    <x v="0"/>
  </r>
  <r>
    <x v="14"/>
    <s v="Estudiante_id_177"/>
    <x v="0"/>
    <x v="0"/>
    <d v="2025-06-20T00:00:00"/>
    <x v="0"/>
    <n v="99.74"/>
    <x v="0"/>
  </r>
  <r>
    <x v="15"/>
    <s v="User_id_179"/>
    <x v="0"/>
    <x v="0"/>
    <d v="2025-12-21T00:00:00"/>
    <x v="0"/>
    <n v="89.47"/>
    <x v="0"/>
  </r>
  <r>
    <x v="16"/>
    <s v="Alumno_id_184"/>
    <x v="0"/>
    <x v="0"/>
    <d v="2025-07-29T00:00:00"/>
    <x v="0"/>
    <n v="96.06"/>
    <x v="0"/>
  </r>
  <r>
    <x v="17"/>
    <s v="Alumno_id_189"/>
    <x v="0"/>
    <x v="0"/>
    <d v="2025-01-31T00:00:00"/>
    <x v="0"/>
    <n v="75.5"/>
    <x v="0"/>
  </r>
  <r>
    <x v="18"/>
    <s v="Candidato_id_201"/>
    <x v="0"/>
    <x v="0"/>
    <d v="2025-01-17T00:00:00"/>
    <x v="0"/>
    <n v="96.52"/>
    <x v="0"/>
  </r>
  <r>
    <x v="19"/>
    <s v="User_id_227"/>
    <x v="0"/>
    <x v="0"/>
    <d v="2025-11-04T00:00:00"/>
    <x v="0"/>
    <n v="96.65"/>
    <x v="0"/>
  </r>
  <r>
    <x v="20"/>
    <s v="Estudiante_id_240"/>
    <x v="0"/>
    <x v="0"/>
    <d v="2025-03-05T00:00:00"/>
    <x v="0"/>
    <n v="86.35"/>
    <x v="0"/>
  </r>
  <r>
    <x v="21"/>
    <s v="Candidato_id_244"/>
    <x v="0"/>
    <x v="0"/>
    <d v="2025-08-01T00:00:00"/>
    <x v="0"/>
    <n v="88.71"/>
    <x v="0"/>
  </r>
  <r>
    <x v="22"/>
    <s v="Estudiante_id_246"/>
    <x v="0"/>
    <x v="0"/>
    <d v="2025-04-09T00:00:00"/>
    <x v="0"/>
    <n v="89.25"/>
    <x v="0"/>
  </r>
  <r>
    <x v="23"/>
    <s v="User_id_251"/>
    <x v="0"/>
    <x v="0"/>
    <d v="2025-07-27T00:00:00"/>
    <x v="0"/>
    <n v="90.26"/>
    <x v="0"/>
  </r>
  <r>
    <x v="24"/>
    <s v="Alumno_id_252"/>
    <x v="0"/>
    <x v="0"/>
    <d v="2025-01-28T00:00:00"/>
    <x v="0"/>
    <n v="78.849999999999994"/>
    <x v="0"/>
  </r>
  <r>
    <x v="25"/>
    <s v="Estudiante_id_260"/>
    <x v="0"/>
    <x v="0"/>
    <d v="2025-06-03T00:00:00"/>
    <x v="0"/>
    <n v="98.42"/>
    <x v="0"/>
  </r>
  <r>
    <x v="26"/>
    <s v="User_id_261"/>
    <x v="0"/>
    <x v="0"/>
    <d v="2025-01-14T00:00:00"/>
    <x v="0"/>
    <n v="96.99"/>
    <x v="0"/>
  </r>
  <r>
    <x v="27"/>
    <s v="Alumno_id_301"/>
    <x v="0"/>
    <x v="0"/>
    <d v="2025-11-27T00:00:00"/>
    <x v="0"/>
    <n v="75.67"/>
    <x v="0"/>
  </r>
  <r>
    <x v="28"/>
    <s v="Estudiante_id_330"/>
    <x v="0"/>
    <x v="0"/>
    <d v="2025-04-19T00:00:00"/>
    <x v="0"/>
    <n v="94.29"/>
    <x v="0"/>
  </r>
  <r>
    <x v="29"/>
    <s v="User_id_346"/>
    <x v="0"/>
    <x v="0"/>
    <d v="2025-11-29T00:00:00"/>
    <x v="0"/>
    <n v="76.58"/>
    <x v="0"/>
  </r>
  <r>
    <x v="30"/>
    <s v="Candidato_id_348"/>
    <x v="0"/>
    <x v="0"/>
    <d v="2025-06-29T00:00:00"/>
    <x v="0"/>
    <n v="77.83"/>
    <x v="0"/>
  </r>
  <r>
    <x v="31"/>
    <s v="User_id_379"/>
    <x v="0"/>
    <x v="0"/>
    <d v="2025-10-21T00:00:00"/>
    <x v="0"/>
    <n v="90.75"/>
    <x v="0"/>
  </r>
  <r>
    <x v="32"/>
    <s v="Alumno_id_387"/>
    <x v="0"/>
    <x v="0"/>
    <d v="2025-02-19T00:00:00"/>
    <x v="0"/>
    <n v="86.44"/>
    <x v="0"/>
  </r>
  <r>
    <x v="33"/>
    <s v="Candidato_id_388"/>
    <x v="0"/>
    <x v="0"/>
    <d v="2025-05-26T00:00:00"/>
    <x v="0"/>
    <n v="99.63"/>
    <x v="0"/>
  </r>
  <r>
    <x v="34"/>
    <s v="User_id_409"/>
    <x v="0"/>
    <x v="0"/>
    <d v="2025-11-12T00:00:00"/>
    <x v="0"/>
    <n v="90.49"/>
    <x v="0"/>
  </r>
  <r>
    <x v="35"/>
    <s v="Alumno_id_416"/>
    <x v="0"/>
    <x v="0"/>
    <d v="2025-12-09T00:00:00"/>
    <x v="0"/>
    <n v="80.75"/>
    <x v="0"/>
  </r>
  <r>
    <x v="36"/>
    <s v="Alumno_id_428"/>
    <x v="0"/>
    <x v="0"/>
    <d v="2025-11-03T00:00:00"/>
    <x v="0"/>
    <n v="87.73"/>
    <x v="0"/>
  </r>
  <r>
    <x v="37"/>
    <s v="Candidato_id_432"/>
    <x v="0"/>
    <x v="0"/>
    <d v="2025-10-30T00:00:00"/>
    <x v="0"/>
    <n v="81.13"/>
    <x v="0"/>
  </r>
  <r>
    <x v="38"/>
    <s v="Alumno_id_443"/>
    <x v="0"/>
    <x v="0"/>
    <d v="2025-01-24T00:00:00"/>
    <x v="0"/>
    <n v="99.37"/>
    <x v="0"/>
  </r>
  <r>
    <x v="39"/>
    <s v="Candidato_id_445"/>
    <x v="0"/>
    <x v="0"/>
    <d v="2025-11-18T00:00:00"/>
    <x v="0"/>
    <n v="77.11"/>
    <x v="0"/>
  </r>
  <r>
    <x v="40"/>
    <s v="User_id_467"/>
    <x v="0"/>
    <x v="0"/>
    <d v="2025-02-21T00:00:00"/>
    <x v="0"/>
    <n v="74.819999999999993"/>
    <x v="0"/>
  </r>
  <r>
    <x v="41"/>
    <s v="Estudiante_id_470"/>
    <x v="0"/>
    <x v="0"/>
    <d v="2025-05-17T00:00:00"/>
    <x v="0"/>
    <n v="70.98"/>
    <x v="0"/>
  </r>
  <r>
    <x v="42"/>
    <s v="User_id_494"/>
    <x v="0"/>
    <x v="0"/>
    <d v="2025-04-03T00:00:00"/>
    <x v="0"/>
    <n v="71.92"/>
    <x v="0"/>
  </r>
  <r>
    <x v="43"/>
    <s v="User_id_520"/>
    <x v="0"/>
    <x v="0"/>
    <d v="2025-08-29T00:00:00"/>
    <x v="0"/>
    <n v="85.74"/>
    <x v="0"/>
  </r>
  <r>
    <x v="44"/>
    <s v="User_id_560"/>
    <x v="0"/>
    <x v="0"/>
    <d v="2025-10-21T00:00:00"/>
    <x v="0"/>
    <n v="80.28"/>
    <x v="0"/>
  </r>
  <r>
    <x v="45"/>
    <s v="Estudiante_id_591"/>
    <x v="0"/>
    <x v="0"/>
    <d v="2025-11-09T00:00:00"/>
    <x v="0"/>
    <n v="94.17"/>
    <x v="0"/>
  </r>
  <r>
    <x v="46"/>
    <s v="Estudiante_id_601"/>
    <x v="0"/>
    <x v="0"/>
    <d v="2025-08-30T00:00:00"/>
    <x v="0"/>
    <n v="75.59"/>
    <x v="0"/>
  </r>
  <r>
    <x v="47"/>
    <s v="Estudiante_id_633"/>
    <x v="0"/>
    <x v="0"/>
    <d v="2025-09-03T00:00:00"/>
    <x v="0"/>
    <n v="82.66"/>
    <x v="0"/>
  </r>
  <r>
    <x v="48"/>
    <s v="Estudiante_id_636"/>
    <x v="0"/>
    <x v="0"/>
    <d v="2025-09-09T00:00:00"/>
    <x v="0"/>
    <n v="99.3"/>
    <x v="0"/>
  </r>
  <r>
    <x v="49"/>
    <s v="Estudiante_id_638"/>
    <x v="0"/>
    <x v="0"/>
    <d v="2025-04-01T00:00:00"/>
    <x v="0"/>
    <n v="71.86"/>
    <x v="0"/>
  </r>
  <r>
    <x v="50"/>
    <s v="User_id_662"/>
    <x v="0"/>
    <x v="0"/>
    <d v="2025-07-31T00:00:00"/>
    <x v="0"/>
    <n v="87.92"/>
    <x v="0"/>
  </r>
  <r>
    <x v="51"/>
    <s v="Candidato_id_692"/>
    <x v="0"/>
    <x v="0"/>
    <d v="2025-10-13T00:00:00"/>
    <x v="0"/>
    <n v="78.930000000000007"/>
    <x v="0"/>
  </r>
  <r>
    <x v="52"/>
    <s v="Candidato_id_704"/>
    <x v="0"/>
    <x v="0"/>
    <d v="2025-12-01T00:00:00"/>
    <x v="0"/>
    <n v="95.4"/>
    <x v="0"/>
  </r>
  <r>
    <x v="53"/>
    <s v="Estudiante_id_710"/>
    <x v="0"/>
    <x v="0"/>
    <d v="2025-01-15T00:00:00"/>
    <x v="0"/>
    <n v="81.48"/>
    <x v="0"/>
  </r>
  <r>
    <x v="54"/>
    <s v="Estudiante_id_728"/>
    <x v="0"/>
    <x v="0"/>
    <d v="2025-02-14T00:00:00"/>
    <x v="0"/>
    <n v="84.69"/>
    <x v="0"/>
  </r>
  <r>
    <x v="55"/>
    <s v="Alumno_id_731"/>
    <x v="0"/>
    <x v="0"/>
    <d v="2025-12-20T00:00:00"/>
    <x v="0"/>
    <n v="79.78"/>
    <x v="0"/>
  </r>
  <r>
    <x v="56"/>
    <s v="Alumno_id_742"/>
    <x v="0"/>
    <x v="0"/>
    <d v="2025-04-03T00:00:00"/>
    <x v="0"/>
    <n v="92.25"/>
    <x v="0"/>
  </r>
  <r>
    <x v="57"/>
    <s v="Candidato_id_748"/>
    <x v="0"/>
    <x v="0"/>
    <d v="2025-10-19T00:00:00"/>
    <x v="0"/>
    <n v="94.32"/>
    <x v="0"/>
  </r>
  <r>
    <x v="58"/>
    <s v="User_id_774"/>
    <x v="0"/>
    <x v="0"/>
    <d v="2025-11-06T00:00:00"/>
    <x v="0"/>
    <n v="90.08"/>
    <x v="0"/>
  </r>
  <r>
    <x v="59"/>
    <s v="Candidato_id_776"/>
    <x v="0"/>
    <x v="0"/>
    <d v="2025-12-30T00:00:00"/>
    <x v="0"/>
    <n v="89.84"/>
    <x v="0"/>
  </r>
  <r>
    <x v="60"/>
    <s v="Estudiante_id_783"/>
    <x v="0"/>
    <x v="0"/>
    <d v="2025-11-22T00:00:00"/>
    <x v="0"/>
    <n v="91.43"/>
    <x v="0"/>
  </r>
  <r>
    <x v="61"/>
    <s v="Estudiante_id_801"/>
    <x v="0"/>
    <x v="0"/>
    <d v="2025-01-19T00:00:00"/>
    <x v="0"/>
    <n v="90.91"/>
    <x v="0"/>
  </r>
  <r>
    <x v="62"/>
    <s v="Candidato_id_803"/>
    <x v="0"/>
    <x v="0"/>
    <d v="2025-02-03T00:00:00"/>
    <x v="0"/>
    <n v="84.96"/>
    <x v="0"/>
  </r>
  <r>
    <x v="63"/>
    <s v="Estudiante_id_807"/>
    <x v="0"/>
    <x v="0"/>
    <d v="2025-12-28T00:00:00"/>
    <x v="0"/>
    <n v="88.98"/>
    <x v="0"/>
  </r>
  <r>
    <x v="64"/>
    <s v="Estudiante_id_833"/>
    <x v="0"/>
    <x v="0"/>
    <d v="2025-11-04T00:00:00"/>
    <x v="0"/>
    <n v="76.34"/>
    <x v="0"/>
  </r>
  <r>
    <x v="65"/>
    <s v="User_id_834"/>
    <x v="0"/>
    <x v="0"/>
    <d v="2025-07-03T00:00:00"/>
    <x v="0"/>
    <n v="99.01"/>
    <x v="0"/>
  </r>
  <r>
    <x v="66"/>
    <s v="Estudiante_id_835"/>
    <x v="0"/>
    <x v="0"/>
    <d v="2025-03-31T00:00:00"/>
    <x v="0"/>
    <n v="75.760000000000005"/>
    <x v="0"/>
  </r>
  <r>
    <x v="67"/>
    <s v="User_id_850"/>
    <x v="0"/>
    <x v="0"/>
    <d v="2025-12-10T00:00:00"/>
    <x v="0"/>
    <n v="88.25"/>
    <x v="0"/>
  </r>
  <r>
    <x v="68"/>
    <s v="User_id_854"/>
    <x v="0"/>
    <x v="0"/>
    <d v="2025-01-31T00:00:00"/>
    <x v="0"/>
    <n v="86.55"/>
    <x v="0"/>
  </r>
  <r>
    <x v="69"/>
    <s v="User_id_883"/>
    <x v="0"/>
    <x v="0"/>
    <d v="2025-09-30T00:00:00"/>
    <x v="0"/>
    <n v="93.4"/>
    <x v="0"/>
  </r>
  <r>
    <x v="70"/>
    <s v="Alumno_id_914"/>
    <x v="0"/>
    <x v="0"/>
    <d v="2025-03-27T00:00:00"/>
    <x v="0"/>
    <n v="76.67"/>
    <x v="0"/>
  </r>
  <r>
    <x v="71"/>
    <s v="Estudiante_id_947"/>
    <x v="0"/>
    <x v="0"/>
    <d v="2025-02-10T00:00:00"/>
    <x v="0"/>
    <n v="74.349999999999994"/>
    <x v="0"/>
  </r>
  <r>
    <x v="72"/>
    <s v="Estudiante_id_958"/>
    <x v="0"/>
    <x v="0"/>
    <d v="2025-09-25T00:00:00"/>
    <x v="0"/>
    <n v="80.239999999999995"/>
    <x v="0"/>
  </r>
  <r>
    <x v="73"/>
    <s v="User_id_61"/>
    <x v="1"/>
    <x v="1"/>
    <d v="2025-04-24T00:00:00"/>
    <x v="0"/>
    <n v="79.3"/>
    <x v="0"/>
  </r>
  <r>
    <x v="74"/>
    <s v="Alumno_id_66"/>
    <x v="1"/>
    <x v="1"/>
    <d v="2025-05-04T00:00:00"/>
    <x v="0"/>
    <n v="87.11"/>
    <x v="0"/>
  </r>
  <r>
    <x v="75"/>
    <s v="Alumno_id_68"/>
    <x v="1"/>
    <x v="1"/>
    <d v="2025-01-02T00:00:00"/>
    <x v="0"/>
    <n v="90.2"/>
    <x v="0"/>
  </r>
  <r>
    <x v="76"/>
    <s v="Candidato_id_77"/>
    <x v="1"/>
    <x v="1"/>
    <d v="2025-01-09T00:00:00"/>
    <x v="0"/>
    <n v="70.069999999999993"/>
    <x v="0"/>
  </r>
  <r>
    <x v="77"/>
    <s v="Alumno_id_97"/>
    <x v="1"/>
    <x v="1"/>
    <d v="2025-09-03T00:00:00"/>
    <x v="0"/>
    <n v="70.62"/>
    <x v="0"/>
  </r>
  <r>
    <x v="78"/>
    <s v="Estudiante_id_124"/>
    <x v="1"/>
    <x v="1"/>
    <d v="2025-08-27T00:00:00"/>
    <x v="0"/>
    <n v="70.11"/>
    <x v="0"/>
  </r>
  <r>
    <x v="79"/>
    <s v="User_id_153"/>
    <x v="1"/>
    <x v="1"/>
    <d v="2025-10-08T00:00:00"/>
    <x v="0"/>
    <n v="78.959999999999994"/>
    <x v="0"/>
  </r>
  <r>
    <x v="80"/>
    <s v="Alumno_id_155"/>
    <x v="1"/>
    <x v="1"/>
    <d v="2025-10-04T00:00:00"/>
    <x v="0"/>
    <n v="94.3"/>
    <x v="0"/>
  </r>
  <r>
    <x v="81"/>
    <s v="Alumno_id_166"/>
    <x v="1"/>
    <x v="1"/>
    <d v="2025-05-14T00:00:00"/>
    <x v="0"/>
    <n v="87.67"/>
    <x v="0"/>
  </r>
  <r>
    <x v="82"/>
    <s v="User_id_172"/>
    <x v="1"/>
    <x v="1"/>
    <d v="2025-03-11T00:00:00"/>
    <x v="0"/>
    <n v="90.62"/>
    <x v="0"/>
  </r>
  <r>
    <x v="83"/>
    <s v="Estudiante_id_196"/>
    <x v="1"/>
    <x v="1"/>
    <d v="2025-02-08T00:00:00"/>
    <x v="0"/>
    <n v="76.680000000000007"/>
    <x v="0"/>
  </r>
  <r>
    <x v="84"/>
    <s v="Estudiante_id_265"/>
    <x v="1"/>
    <x v="1"/>
    <d v="2025-12-21T00:00:00"/>
    <x v="0"/>
    <n v="98.28"/>
    <x v="0"/>
  </r>
  <r>
    <x v="85"/>
    <s v="Estudiante_id_285"/>
    <x v="1"/>
    <x v="1"/>
    <d v="2025-04-22T00:00:00"/>
    <x v="0"/>
    <n v="92.3"/>
    <x v="0"/>
  </r>
  <r>
    <x v="86"/>
    <s v="Alumno_id_291"/>
    <x v="1"/>
    <x v="1"/>
    <d v="2025-05-31T00:00:00"/>
    <x v="0"/>
    <n v="83.98"/>
    <x v="0"/>
  </r>
  <r>
    <x v="87"/>
    <s v="User_id_302"/>
    <x v="1"/>
    <x v="1"/>
    <d v="2025-10-13T00:00:00"/>
    <x v="0"/>
    <n v="84.03"/>
    <x v="0"/>
  </r>
  <r>
    <x v="88"/>
    <s v="Estudiante_id_305"/>
    <x v="1"/>
    <x v="1"/>
    <d v="2025-02-05T00:00:00"/>
    <x v="0"/>
    <n v="95"/>
    <x v="0"/>
  </r>
  <r>
    <x v="89"/>
    <s v="Alumno_id_307"/>
    <x v="1"/>
    <x v="1"/>
    <d v="2025-12-08T00:00:00"/>
    <x v="0"/>
    <n v="92.94"/>
    <x v="0"/>
  </r>
  <r>
    <x v="90"/>
    <s v="User_id_311"/>
    <x v="1"/>
    <x v="1"/>
    <d v="2025-09-21T00:00:00"/>
    <x v="0"/>
    <n v="97.74"/>
    <x v="0"/>
  </r>
  <r>
    <x v="91"/>
    <s v="Alumno_id_326"/>
    <x v="1"/>
    <x v="1"/>
    <d v="2025-10-24T00:00:00"/>
    <x v="0"/>
    <n v="81.819999999999993"/>
    <x v="0"/>
  </r>
  <r>
    <x v="92"/>
    <s v="User_id_342"/>
    <x v="1"/>
    <x v="1"/>
    <d v="2025-04-03T00:00:00"/>
    <x v="0"/>
    <n v="87.05"/>
    <x v="0"/>
  </r>
  <r>
    <x v="93"/>
    <s v="Candidato_id_370"/>
    <x v="1"/>
    <x v="1"/>
    <d v="2025-05-11T00:00:00"/>
    <x v="0"/>
    <n v="87.86"/>
    <x v="0"/>
  </r>
  <r>
    <x v="94"/>
    <s v="Alumno_id_385"/>
    <x v="1"/>
    <x v="1"/>
    <d v="2025-11-30T00:00:00"/>
    <x v="0"/>
    <n v="94.08"/>
    <x v="0"/>
  </r>
  <r>
    <x v="95"/>
    <s v="Alumno_id_403"/>
    <x v="1"/>
    <x v="1"/>
    <d v="2025-03-24T00:00:00"/>
    <x v="0"/>
    <n v="95.77"/>
    <x v="0"/>
  </r>
  <r>
    <x v="96"/>
    <s v="Candidato_id_431"/>
    <x v="1"/>
    <x v="1"/>
    <d v="2025-10-13T00:00:00"/>
    <x v="0"/>
    <n v="92.63"/>
    <x v="0"/>
  </r>
  <r>
    <x v="97"/>
    <s v="User_id_438"/>
    <x v="1"/>
    <x v="1"/>
    <d v="2025-05-07T00:00:00"/>
    <x v="0"/>
    <n v="89.61"/>
    <x v="0"/>
  </r>
  <r>
    <x v="98"/>
    <s v="Estudiante_id_449"/>
    <x v="1"/>
    <x v="1"/>
    <d v="2025-10-20T00:00:00"/>
    <x v="0"/>
    <n v="96.52"/>
    <x v="0"/>
  </r>
  <r>
    <x v="99"/>
    <s v="User_id_469"/>
    <x v="1"/>
    <x v="1"/>
    <d v="2025-09-11T00:00:00"/>
    <x v="0"/>
    <n v="80.38"/>
    <x v="0"/>
  </r>
  <r>
    <x v="100"/>
    <s v="Alumno_id_476"/>
    <x v="1"/>
    <x v="1"/>
    <d v="2025-11-11T00:00:00"/>
    <x v="0"/>
    <n v="92.37"/>
    <x v="0"/>
  </r>
  <r>
    <x v="101"/>
    <s v="User_id_482"/>
    <x v="1"/>
    <x v="1"/>
    <d v="2025-05-08T00:00:00"/>
    <x v="0"/>
    <n v="83.28"/>
    <x v="0"/>
  </r>
  <r>
    <x v="102"/>
    <s v="Estudiante_id_509"/>
    <x v="1"/>
    <x v="1"/>
    <d v="2025-10-09T00:00:00"/>
    <x v="0"/>
    <n v="70.44"/>
    <x v="0"/>
  </r>
  <r>
    <x v="103"/>
    <s v="Estudiante_id_522"/>
    <x v="1"/>
    <x v="1"/>
    <d v="2025-11-29T00:00:00"/>
    <x v="0"/>
    <n v="78.13"/>
    <x v="0"/>
  </r>
  <r>
    <x v="104"/>
    <s v="Estudiante_id_534"/>
    <x v="1"/>
    <x v="1"/>
    <d v="2025-04-15T00:00:00"/>
    <x v="0"/>
    <n v="81.63"/>
    <x v="0"/>
  </r>
  <r>
    <x v="105"/>
    <s v="Alumno_id_553"/>
    <x v="1"/>
    <x v="1"/>
    <d v="2025-06-03T00:00:00"/>
    <x v="0"/>
    <n v="94.19"/>
    <x v="0"/>
  </r>
  <r>
    <x v="106"/>
    <s v="Candidato_id_569"/>
    <x v="1"/>
    <x v="1"/>
    <d v="2025-01-04T00:00:00"/>
    <x v="0"/>
    <n v="83.89"/>
    <x v="0"/>
  </r>
  <r>
    <x v="107"/>
    <s v="Alumno_id_579"/>
    <x v="1"/>
    <x v="1"/>
    <d v="2025-05-18T00:00:00"/>
    <x v="0"/>
    <n v="93.11"/>
    <x v="0"/>
  </r>
  <r>
    <x v="108"/>
    <s v="Candidato_id_588"/>
    <x v="1"/>
    <x v="1"/>
    <d v="2025-08-30T00:00:00"/>
    <x v="0"/>
    <n v="93.24"/>
    <x v="0"/>
  </r>
  <r>
    <x v="109"/>
    <s v="User_id_589"/>
    <x v="1"/>
    <x v="1"/>
    <d v="2025-10-03T00:00:00"/>
    <x v="0"/>
    <n v="83.51"/>
    <x v="0"/>
  </r>
  <r>
    <x v="110"/>
    <s v="User_id_606"/>
    <x v="1"/>
    <x v="1"/>
    <d v="2025-06-09T00:00:00"/>
    <x v="0"/>
    <n v="81.430000000000007"/>
    <x v="0"/>
  </r>
  <r>
    <x v="111"/>
    <s v="Estudiante_id_624"/>
    <x v="1"/>
    <x v="1"/>
    <d v="2025-09-08T00:00:00"/>
    <x v="0"/>
    <n v="90.26"/>
    <x v="0"/>
  </r>
  <r>
    <x v="112"/>
    <s v="Estudiante_id_627"/>
    <x v="1"/>
    <x v="1"/>
    <d v="2025-10-21T00:00:00"/>
    <x v="0"/>
    <n v="95.14"/>
    <x v="0"/>
  </r>
  <r>
    <x v="113"/>
    <s v="Candidato_id_629"/>
    <x v="1"/>
    <x v="1"/>
    <d v="2025-08-01T00:00:00"/>
    <x v="0"/>
    <n v="82.41"/>
    <x v="0"/>
  </r>
  <r>
    <x v="114"/>
    <s v="User_id_634"/>
    <x v="1"/>
    <x v="1"/>
    <d v="2025-09-23T00:00:00"/>
    <x v="0"/>
    <n v="75.13"/>
    <x v="0"/>
  </r>
  <r>
    <x v="115"/>
    <s v="Estudiante_id_643"/>
    <x v="1"/>
    <x v="1"/>
    <d v="2025-12-20T00:00:00"/>
    <x v="0"/>
    <n v="70.3"/>
    <x v="0"/>
  </r>
  <r>
    <x v="116"/>
    <s v="User_id_656"/>
    <x v="1"/>
    <x v="1"/>
    <d v="2025-07-09T00:00:00"/>
    <x v="0"/>
    <n v="89.15"/>
    <x v="0"/>
  </r>
  <r>
    <x v="117"/>
    <s v="User_id_660"/>
    <x v="1"/>
    <x v="1"/>
    <d v="2025-09-16T00:00:00"/>
    <x v="0"/>
    <n v="99.78"/>
    <x v="0"/>
  </r>
  <r>
    <x v="118"/>
    <s v="User_id_686"/>
    <x v="1"/>
    <x v="1"/>
    <d v="2025-01-05T00:00:00"/>
    <x v="0"/>
    <n v="85.47"/>
    <x v="0"/>
  </r>
  <r>
    <x v="119"/>
    <s v="Estudiante_id_687"/>
    <x v="1"/>
    <x v="1"/>
    <d v="2025-06-05T00:00:00"/>
    <x v="0"/>
    <n v="98.99"/>
    <x v="0"/>
  </r>
  <r>
    <x v="120"/>
    <s v="Estudiante_id_695"/>
    <x v="1"/>
    <x v="1"/>
    <d v="2025-01-04T00:00:00"/>
    <x v="0"/>
    <n v="94"/>
    <x v="0"/>
  </r>
  <r>
    <x v="121"/>
    <s v="Alumno_id_707"/>
    <x v="1"/>
    <x v="1"/>
    <d v="2025-11-19T00:00:00"/>
    <x v="0"/>
    <n v="81.540000000000006"/>
    <x v="0"/>
  </r>
  <r>
    <x v="122"/>
    <s v="Estudiante_id_716"/>
    <x v="1"/>
    <x v="1"/>
    <d v="2025-06-14T00:00:00"/>
    <x v="0"/>
    <n v="81.23"/>
    <x v="0"/>
  </r>
  <r>
    <x v="123"/>
    <s v="User_id_725"/>
    <x v="1"/>
    <x v="1"/>
    <d v="2025-03-18T00:00:00"/>
    <x v="0"/>
    <n v="80.77"/>
    <x v="0"/>
  </r>
  <r>
    <x v="124"/>
    <s v="Estudiante_id_750"/>
    <x v="1"/>
    <x v="1"/>
    <d v="2025-09-21T00:00:00"/>
    <x v="0"/>
    <n v="74.180000000000007"/>
    <x v="0"/>
  </r>
  <r>
    <x v="125"/>
    <s v="Estudiante_id_754"/>
    <x v="1"/>
    <x v="1"/>
    <d v="2025-12-27T00:00:00"/>
    <x v="0"/>
    <n v="73.39"/>
    <x v="0"/>
  </r>
  <r>
    <x v="126"/>
    <s v="Estudiante_id_756"/>
    <x v="1"/>
    <x v="1"/>
    <d v="2025-05-01T00:00:00"/>
    <x v="0"/>
    <n v="81.7"/>
    <x v="0"/>
  </r>
  <r>
    <x v="127"/>
    <s v="User_id_787"/>
    <x v="1"/>
    <x v="1"/>
    <d v="2025-09-08T00:00:00"/>
    <x v="0"/>
    <n v="73.84"/>
    <x v="0"/>
  </r>
  <r>
    <x v="128"/>
    <s v="User_id_802"/>
    <x v="1"/>
    <x v="1"/>
    <d v="2025-04-30T00:00:00"/>
    <x v="0"/>
    <n v="82.63"/>
    <x v="0"/>
  </r>
  <r>
    <x v="129"/>
    <s v="Alumno_id_861"/>
    <x v="1"/>
    <x v="1"/>
    <d v="2025-01-09T00:00:00"/>
    <x v="0"/>
    <n v="88.05"/>
    <x v="0"/>
  </r>
  <r>
    <x v="130"/>
    <s v="Alumno_id_872"/>
    <x v="1"/>
    <x v="1"/>
    <d v="2025-10-18T00:00:00"/>
    <x v="0"/>
    <n v="80.63"/>
    <x v="0"/>
  </r>
  <r>
    <x v="131"/>
    <s v="Alumno_id_873"/>
    <x v="1"/>
    <x v="1"/>
    <d v="2025-09-07T00:00:00"/>
    <x v="0"/>
    <n v="70.930000000000007"/>
    <x v="0"/>
  </r>
  <r>
    <x v="132"/>
    <s v="Alumno_id_884"/>
    <x v="1"/>
    <x v="1"/>
    <d v="2025-06-02T00:00:00"/>
    <x v="0"/>
    <n v="85.08"/>
    <x v="0"/>
  </r>
  <r>
    <x v="133"/>
    <s v="Estudiante_id_892"/>
    <x v="1"/>
    <x v="1"/>
    <d v="2025-04-04T00:00:00"/>
    <x v="0"/>
    <n v="73.7"/>
    <x v="0"/>
  </r>
  <r>
    <x v="134"/>
    <s v="Estudiante_id_905"/>
    <x v="1"/>
    <x v="1"/>
    <d v="2025-11-12T00:00:00"/>
    <x v="0"/>
    <n v="71.739999999999995"/>
    <x v="0"/>
  </r>
  <r>
    <x v="135"/>
    <s v="User_id_913"/>
    <x v="1"/>
    <x v="1"/>
    <d v="2025-07-14T00:00:00"/>
    <x v="0"/>
    <n v="82.21"/>
    <x v="0"/>
  </r>
  <r>
    <x v="136"/>
    <s v="User_id_935"/>
    <x v="1"/>
    <x v="1"/>
    <d v="2025-06-16T00:00:00"/>
    <x v="0"/>
    <n v="73.150000000000006"/>
    <x v="0"/>
  </r>
  <r>
    <x v="137"/>
    <s v="Estudiante_id_970"/>
    <x v="1"/>
    <x v="1"/>
    <d v="2025-03-04T00:00:00"/>
    <x v="0"/>
    <n v="86.59"/>
    <x v="0"/>
  </r>
  <r>
    <x v="138"/>
    <s v="Candidato_id_991"/>
    <x v="1"/>
    <x v="1"/>
    <d v="2025-04-29T00:00:00"/>
    <x v="0"/>
    <n v="77.25"/>
    <x v="0"/>
  </r>
  <r>
    <x v="139"/>
    <s v="Alumno_id_3"/>
    <x v="2"/>
    <x v="2"/>
    <d v="2025-09-17T00:00:00"/>
    <x v="0"/>
    <n v="77.599999999999994"/>
    <x v="0"/>
  </r>
  <r>
    <x v="140"/>
    <s v="Candidato_id_10"/>
    <x v="3"/>
    <x v="3"/>
    <d v="2025-09-16T00:00:00"/>
    <x v="0"/>
    <n v="72.19"/>
    <x v="0"/>
  </r>
  <r>
    <x v="141"/>
    <s v="Alumno_id_16"/>
    <x v="3"/>
    <x v="3"/>
    <d v="2025-06-05T00:00:00"/>
    <x v="0"/>
    <n v="73.45"/>
    <x v="0"/>
  </r>
  <r>
    <x v="142"/>
    <s v="User_id_32"/>
    <x v="2"/>
    <x v="2"/>
    <d v="2025-08-16T00:00:00"/>
    <x v="0"/>
    <n v="79.83"/>
    <x v="0"/>
  </r>
  <r>
    <x v="143"/>
    <s v="Alumno_id_43"/>
    <x v="3"/>
    <x v="3"/>
    <d v="2025-08-16T00:00:00"/>
    <x v="0"/>
    <n v="79.14"/>
    <x v="0"/>
  </r>
  <r>
    <x v="144"/>
    <s v="Alumno_id_46"/>
    <x v="2"/>
    <x v="2"/>
    <d v="2025-02-05T00:00:00"/>
    <x v="0"/>
    <n v="81.23"/>
    <x v="0"/>
  </r>
  <r>
    <x v="145"/>
    <s v="User_id_54"/>
    <x v="3"/>
    <x v="3"/>
    <d v="2025-09-01T00:00:00"/>
    <x v="0"/>
    <n v="71.16"/>
    <x v="0"/>
  </r>
  <r>
    <x v="146"/>
    <s v="User_id_78"/>
    <x v="3"/>
    <x v="3"/>
    <d v="2025-10-29T00:00:00"/>
    <x v="0"/>
    <n v="73.959999999999994"/>
    <x v="0"/>
  </r>
  <r>
    <x v="147"/>
    <s v="User_id_80"/>
    <x v="3"/>
    <x v="3"/>
    <d v="2025-07-28T00:00:00"/>
    <x v="0"/>
    <n v="84.55"/>
    <x v="0"/>
  </r>
  <r>
    <x v="148"/>
    <s v="User_id_82"/>
    <x v="2"/>
    <x v="2"/>
    <d v="2025-06-23T00:00:00"/>
    <x v="0"/>
    <n v="84.4"/>
    <x v="0"/>
  </r>
  <r>
    <x v="149"/>
    <s v="Alumno_id_91"/>
    <x v="3"/>
    <x v="3"/>
    <d v="2025-08-12T00:00:00"/>
    <x v="0"/>
    <n v="91.16"/>
    <x v="0"/>
  </r>
  <r>
    <x v="150"/>
    <s v="Estudiante_id_99"/>
    <x v="2"/>
    <x v="2"/>
    <d v="2025-10-25T00:00:00"/>
    <x v="0"/>
    <n v="94.19"/>
    <x v="0"/>
  </r>
  <r>
    <x v="151"/>
    <s v="Alumno_id_101"/>
    <x v="2"/>
    <x v="2"/>
    <d v="2025-12-13T00:00:00"/>
    <x v="0"/>
    <n v="71.97"/>
    <x v="0"/>
  </r>
  <r>
    <x v="152"/>
    <s v="User_id_102"/>
    <x v="2"/>
    <x v="2"/>
    <d v="2025-04-13T00:00:00"/>
    <x v="0"/>
    <n v="94.43"/>
    <x v="0"/>
  </r>
  <r>
    <x v="153"/>
    <s v="Estudiante_id_115"/>
    <x v="3"/>
    <x v="3"/>
    <d v="2025-02-03T00:00:00"/>
    <x v="0"/>
    <n v="97.94"/>
    <x v="0"/>
  </r>
  <r>
    <x v="154"/>
    <s v="Candidato_id_116"/>
    <x v="2"/>
    <x v="2"/>
    <d v="2025-03-26T00:00:00"/>
    <x v="0"/>
    <n v="82.96"/>
    <x v="0"/>
  </r>
  <r>
    <x v="155"/>
    <s v="Alumno_id_129"/>
    <x v="3"/>
    <x v="3"/>
    <d v="2025-05-31T00:00:00"/>
    <x v="0"/>
    <n v="99.57"/>
    <x v="0"/>
  </r>
  <r>
    <x v="156"/>
    <s v="Candidato_id_130"/>
    <x v="2"/>
    <x v="2"/>
    <d v="2025-10-26T00:00:00"/>
    <x v="0"/>
    <n v="91.76"/>
    <x v="0"/>
  </r>
  <r>
    <x v="157"/>
    <s v="Estudiante_id_134"/>
    <x v="2"/>
    <x v="2"/>
    <d v="2025-03-22T00:00:00"/>
    <x v="0"/>
    <n v="70.27"/>
    <x v="0"/>
  </r>
  <r>
    <x v="158"/>
    <s v="User_id_143"/>
    <x v="2"/>
    <x v="2"/>
    <d v="2025-03-07T00:00:00"/>
    <x v="0"/>
    <n v="73.569999999999993"/>
    <x v="0"/>
  </r>
  <r>
    <x v="159"/>
    <s v="User_id_150"/>
    <x v="2"/>
    <x v="2"/>
    <d v="2025-05-16T00:00:00"/>
    <x v="0"/>
    <n v="94.1"/>
    <x v="0"/>
  </r>
  <r>
    <x v="160"/>
    <s v="Alumno_id_154"/>
    <x v="3"/>
    <x v="3"/>
    <d v="2025-10-13T00:00:00"/>
    <x v="0"/>
    <n v="81.069999999999993"/>
    <x v="0"/>
  </r>
  <r>
    <x v="161"/>
    <s v="Estudiante_id_156"/>
    <x v="2"/>
    <x v="2"/>
    <d v="2025-05-15T00:00:00"/>
    <x v="0"/>
    <n v="71.290000000000006"/>
    <x v="0"/>
  </r>
  <r>
    <x v="162"/>
    <s v="Estudiante_id_171"/>
    <x v="2"/>
    <x v="2"/>
    <d v="2025-04-01T00:00:00"/>
    <x v="0"/>
    <n v="97.77"/>
    <x v="0"/>
  </r>
  <r>
    <x v="163"/>
    <s v="Alumno_id_174"/>
    <x v="2"/>
    <x v="2"/>
    <d v="2025-05-05T00:00:00"/>
    <x v="0"/>
    <n v="82.72"/>
    <x v="0"/>
  </r>
  <r>
    <x v="164"/>
    <s v="User_id_198"/>
    <x v="3"/>
    <x v="3"/>
    <d v="2025-06-25T00:00:00"/>
    <x v="0"/>
    <n v="91.24"/>
    <x v="0"/>
  </r>
  <r>
    <x v="165"/>
    <s v="Estudiante_id_203"/>
    <x v="3"/>
    <x v="3"/>
    <d v="2025-06-29T00:00:00"/>
    <x v="0"/>
    <n v="88.78"/>
    <x v="0"/>
  </r>
  <r>
    <x v="166"/>
    <s v="User_id_205"/>
    <x v="3"/>
    <x v="3"/>
    <d v="2025-04-06T00:00:00"/>
    <x v="0"/>
    <n v="72.28"/>
    <x v="0"/>
  </r>
  <r>
    <x v="167"/>
    <s v="Candidato_id_215"/>
    <x v="2"/>
    <x v="2"/>
    <d v="2025-09-25T00:00:00"/>
    <x v="0"/>
    <n v="81.14"/>
    <x v="0"/>
  </r>
  <r>
    <x v="168"/>
    <s v="Alumno_id_226"/>
    <x v="3"/>
    <x v="3"/>
    <d v="2025-11-25T00:00:00"/>
    <x v="0"/>
    <n v="82.68"/>
    <x v="0"/>
  </r>
  <r>
    <x v="169"/>
    <s v="Alumno_id_270"/>
    <x v="3"/>
    <x v="3"/>
    <d v="2025-02-05T00:00:00"/>
    <x v="0"/>
    <n v="76.819999999999993"/>
    <x v="0"/>
  </r>
  <r>
    <x v="170"/>
    <s v="Estudiante_id_279"/>
    <x v="2"/>
    <x v="2"/>
    <d v="2025-09-19T00:00:00"/>
    <x v="0"/>
    <n v="78.86"/>
    <x v="0"/>
  </r>
  <r>
    <x v="171"/>
    <s v="User_id_287"/>
    <x v="3"/>
    <x v="3"/>
    <d v="2025-05-14T00:00:00"/>
    <x v="0"/>
    <n v="86.43"/>
    <x v="0"/>
  </r>
  <r>
    <x v="172"/>
    <s v="Alumno_id_295"/>
    <x v="2"/>
    <x v="2"/>
    <d v="2025-12-07T00:00:00"/>
    <x v="0"/>
    <n v="89.07"/>
    <x v="0"/>
  </r>
  <r>
    <x v="173"/>
    <s v="Alumno_id_298"/>
    <x v="3"/>
    <x v="3"/>
    <d v="2025-05-06T00:00:00"/>
    <x v="0"/>
    <n v="81.13"/>
    <x v="0"/>
  </r>
  <r>
    <x v="174"/>
    <s v="Estudiante_id_304"/>
    <x v="3"/>
    <x v="3"/>
    <d v="2025-10-16T00:00:00"/>
    <x v="0"/>
    <n v="87.46"/>
    <x v="0"/>
  </r>
  <r>
    <x v="175"/>
    <s v="User_id_314"/>
    <x v="3"/>
    <x v="3"/>
    <d v="2025-11-11T00:00:00"/>
    <x v="0"/>
    <n v="86.91"/>
    <x v="0"/>
  </r>
  <r>
    <x v="176"/>
    <s v="Estudiante_id_339"/>
    <x v="2"/>
    <x v="2"/>
    <d v="2025-06-14T00:00:00"/>
    <x v="0"/>
    <n v="96.43"/>
    <x v="0"/>
  </r>
  <r>
    <x v="177"/>
    <s v="User_id_356"/>
    <x v="2"/>
    <x v="2"/>
    <d v="2025-09-11T00:00:00"/>
    <x v="0"/>
    <n v="72.09"/>
    <x v="0"/>
  </r>
  <r>
    <x v="178"/>
    <s v="Alumno_id_360"/>
    <x v="3"/>
    <x v="3"/>
    <d v="2025-03-01T00:00:00"/>
    <x v="0"/>
    <n v="82.77"/>
    <x v="0"/>
  </r>
  <r>
    <x v="179"/>
    <s v="User_id_362"/>
    <x v="2"/>
    <x v="2"/>
    <d v="2025-05-30T00:00:00"/>
    <x v="0"/>
    <n v="99.28"/>
    <x v="0"/>
  </r>
  <r>
    <x v="180"/>
    <s v="User_id_373"/>
    <x v="2"/>
    <x v="2"/>
    <d v="2025-09-20T00:00:00"/>
    <x v="0"/>
    <n v="90.84"/>
    <x v="0"/>
  </r>
  <r>
    <x v="181"/>
    <s v="Estudiante_id_374"/>
    <x v="3"/>
    <x v="3"/>
    <d v="2025-10-01T00:00:00"/>
    <x v="0"/>
    <n v="93.89"/>
    <x v="0"/>
  </r>
  <r>
    <x v="182"/>
    <s v="User_id_378"/>
    <x v="3"/>
    <x v="3"/>
    <d v="2025-12-28T00:00:00"/>
    <x v="0"/>
    <n v="70.489999999999995"/>
    <x v="0"/>
  </r>
  <r>
    <x v="183"/>
    <s v="Estudiante_id_402"/>
    <x v="2"/>
    <x v="2"/>
    <d v="2025-08-17T00:00:00"/>
    <x v="0"/>
    <n v="86.86"/>
    <x v="0"/>
  </r>
  <r>
    <x v="184"/>
    <s v="User_id_422"/>
    <x v="3"/>
    <x v="3"/>
    <d v="2025-02-04T00:00:00"/>
    <x v="0"/>
    <n v="85.74"/>
    <x v="0"/>
  </r>
  <r>
    <x v="185"/>
    <s v="Alumno_id_436"/>
    <x v="2"/>
    <x v="2"/>
    <d v="2025-10-21T00:00:00"/>
    <x v="0"/>
    <n v="77.38"/>
    <x v="0"/>
  </r>
  <r>
    <x v="186"/>
    <s v="User_id_452"/>
    <x v="3"/>
    <x v="3"/>
    <d v="2025-02-01T00:00:00"/>
    <x v="0"/>
    <n v="96.61"/>
    <x v="0"/>
  </r>
  <r>
    <x v="187"/>
    <s v="Candidato_id_461"/>
    <x v="3"/>
    <x v="3"/>
    <d v="2025-10-16T00:00:00"/>
    <x v="0"/>
    <n v="73.290000000000006"/>
    <x v="0"/>
  </r>
  <r>
    <x v="188"/>
    <s v="User_id_468"/>
    <x v="2"/>
    <x v="2"/>
    <d v="2025-05-25T00:00:00"/>
    <x v="0"/>
    <n v="87.61"/>
    <x v="0"/>
  </r>
  <r>
    <x v="189"/>
    <s v="Alumno_id_487"/>
    <x v="3"/>
    <x v="3"/>
    <d v="2025-11-11T00:00:00"/>
    <x v="0"/>
    <n v="81.75"/>
    <x v="0"/>
  </r>
  <r>
    <x v="190"/>
    <s v="User_id_491"/>
    <x v="3"/>
    <x v="3"/>
    <d v="2025-11-24T00:00:00"/>
    <x v="0"/>
    <n v="71.3"/>
    <x v="0"/>
  </r>
  <r>
    <x v="191"/>
    <s v="Alumno_id_493"/>
    <x v="3"/>
    <x v="3"/>
    <d v="2025-02-21T00:00:00"/>
    <x v="0"/>
    <n v="88.25"/>
    <x v="0"/>
  </r>
  <r>
    <x v="192"/>
    <s v="User_id_510"/>
    <x v="3"/>
    <x v="3"/>
    <d v="2025-07-24T00:00:00"/>
    <x v="0"/>
    <n v="78.91"/>
    <x v="0"/>
  </r>
  <r>
    <x v="193"/>
    <s v="Candidato_id_528"/>
    <x v="3"/>
    <x v="3"/>
    <d v="2025-01-05T00:00:00"/>
    <x v="0"/>
    <n v="77.87"/>
    <x v="0"/>
  </r>
  <r>
    <x v="194"/>
    <s v="User_id_535"/>
    <x v="2"/>
    <x v="2"/>
    <d v="2025-04-30T00:00:00"/>
    <x v="0"/>
    <n v="83.1"/>
    <x v="0"/>
  </r>
  <r>
    <x v="195"/>
    <s v="User_id_537"/>
    <x v="2"/>
    <x v="2"/>
    <d v="2025-07-20T00:00:00"/>
    <x v="0"/>
    <n v="76.98"/>
    <x v="0"/>
  </r>
  <r>
    <x v="196"/>
    <s v="Candidato_id_540"/>
    <x v="3"/>
    <x v="3"/>
    <d v="2025-12-17T00:00:00"/>
    <x v="0"/>
    <n v="95.51"/>
    <x v="0"/>
  </r>
  <r>
    <x v="197"/>
    <s v="User_id_546"/>
    <x v="2"/>
    <x v="2"/>
    <d v="2025-01-23T00:00:00"/>
    <x v="0"/>
    <n v="75.930000000000007"/>
    <x v="0"/>
  </r>
  <r>
    <x v="198"/>
    <s v="Alumno_id_554"/>
    <x v="2"/>
    <x v="2"/>
    <d v="2025-02-08T00:00:00"/>
    <x v="0"/>
    <n v="94.38"/>
    <x v="0"/>
  </r>
  <r>
    <x v="199"/>
    <s v="User_id_563"/>
    <x v="2"/>
    <x v="2"/>
    <d v="2025-08-15T00:00:00"/>
    <x v="0"/>
    <n v="88.36"/>
    <x v="0"/>
  </r>
  <r>
    <x v="200"/>
    <s v="User_id_581"/>
    <x v="2"/>
    <x v="2"/>
    <d v="2025-05-28T00:00:00"/>
    <x v="0"/>
    <n v="94.07"/>
    <x v="0"/>
  </r>
  <r>
    <x v="201"/>
    <s v="Estudiante_id_585"/>
    <x v="2"/>
    <x v="2"/>
    <d v="2025-10-06T00:00:00"/>
    <x v="0"/>
    <n v="86.04"/>
    <x v="0"/>
  </r>
  <r>
    <x v="202"/>
    <s v="Estudiante_id_597"/>
    <x v="2"/>
    <x v="2"/>
    <d v="2025-12-29T00:00:00"/>
    <x v="0"/>
    <n v="92.79"/>
    <x v="0"/>
  </r>
  <r>
    <x v="203"/>
    <s v="User_id_604"/>
    <x v="3"/>
    <x v="3"/>
    <d v="2025-02-16T00:00:00"/>
    <x v="0"/>
    <n v="78.900000000000006"/>
    <x v="0"/>
  </r>
  <r>
    <x v="204"/>
    <s v="Alumno_id_605"/>
    <x v="2"/>
    <x v="2"/>
    <d v="2025-05-10T00:00:00"/>
    <x v="0"/>
    <n v="94.25"/>
    <x v="0"/>
  </r>
  <r>
    <x v="205"/>
    <s v="User_id_607"/>
    <x v="2"/>
    <x v="2"/>
    <d v="2025-04-18T00:00:00"/>
    <x v="0"/>
    <n v="82.78"/>
    <x v="0"/>
  </r>
  <r>
    <x v="206"/>
    <s v="Estudiante_id_617"/>
    <x v="3"/>
    <x v="3"/>
    <d v="2025-08-27T00:00:00"/>
    <x v="0"/>
    <n v="88.74"/>
    <x v="0"/>
  </r>
  <r>
    <x v="207"/>
    <s v="Estudiante_id_639"/>
    <x v="3"/>
    <x v="3"/>
    <d v="2025-06-05T00:00:00"/>
    <x v="0"/>
    <n v="82.17"/>
    <x v="0"/>
  </r>
  <r>
    <x v="208"/>
    <s v="Estudiante_id_652"/>
    <x v="3"/>
    <x v="3"/>
    <d v="2025-08-09T00:00:00"/>
    <x v="0"/>
    <n v="94.54"/>
    <x v="0"/>
  </r>
  <r>
    <x v="209"/>
    <s v="Candidato_id_654"/>
    <x v="3"/>
    <x v="3"/>
    <d v="2025-04-28T00:00:00"/>
    <x v="0"/>
    <n v="92.02"/>
    <x v="0"/>
  </r>
  <r>
    <x v="210"/>
    <s v="Estudiante_id_670"/>
    <x v="3"/>
    <x v="3"/>
    <d v="2025-03-03T00:00:00"/>
    <x v="0"/>
    <n v="71.650000000000006"/>
    <x v="0"/>
  </r>
  <r>
    <x v="211"/>
    <s v="User_id_672"/>
    <x v="2"/>
    <x v="2"/>
    <d v="2025-07-29T00:00:00"/>
    <x v="0"/>
    <n v="74.84"/>
    <x v="0"/>
  </r>
  <r>
    <x v="212"/>
    <s v="User_id_679"/>
    <x v="3"/>
    <x v="3"/>
    <d v="2025-03-17T00:00:00"/>
    <x v="0"/>
    <n v="75.06"/>
    <x v="0"/>
  </r>
  <r>
    <x v="213"/>
    <s v="Alumno_id_680"/>
    <x v="3"/>
    <x v="3"/>
    <d v="2025-11-05T00:00:00"/>
    <x v="0"/>
    <n v="73.650000000000006"/>
    <x v="0"/>
  </r>
  <r>
    <x v="214"/>
    <s v="Estudiante_id_688"/>
    <x v="3"/>
    <x v="3"/>
    <d v="2025-02-09T00:00:00"/>
    <x v="0"/>
    <n v="83.85"/>
    <x v="0"/>
  </r>
  <r>
    <x v="215"/>
    <s v="User_id_703"/>
    <x v="2"/>
    <x v="2"/>
    <d v="2025-05-04T00:00:00"/>
    <x v="0"/>
    <n v="70.63"/>
    <x v="0"/>
  </r>
  <r>
    <x v="216"/>
    <s v="Candidato_id_709"/>
    <x v="2"/>
    <x v="2"/>
    <d v="2025-05-16T00:00:00"/>
    <x v="0"/>
    <n v="97.46"/>
    <x v="0"/>
  </r>
  <r>
    <x v="217"/>
    <s v="Estudiante_id_722"/>
    <x v="2"/>
    <x v="2"/>
    <d v="2025-09-20T00:00:00"/>
    <x v="0"/>
    <n v="82.38"/>
    <x v="0"/>
  </r>
  <r>
    <x v="218"/>
    <s v="User_id_726"/>
    <x v="3"/>
    <x v="3"/>
    <d v="2025-02-14T00:00:00"/>
    <x v="0"/>
    <n v="72.84"/>
    <x v="0"/>
  </r>
  <r>
    <x v="219"/>
    <s v="Alumno_id_733"/>
    <x v="3"/>
    <x v="3"/>
    <d v="2025-06-27T00:00:00"/>
    <x v="0"/>
    <n v="83.13"/>
    <x v="0"/>
  </r>
  <r>
    <x v="220"/>
    <s v="Estudiante_id_736"/>
    <x v="3"/>
    <x v="3"/>
    <d v="2025-04-07T00:00:00"/>
    <x v="0"/>
    <n v="82.82"/>
    <x v="0"/>
  </r>
  <r>
    <x v="221"/>
    <s v="User_id_746"/>
    <x v="3"/>
    <x v="3"/>
    <d v="2025-09-13T00:00:00"/>
    <x v="0"/>
    <n v="99.36"/>
    <x v="0"/>
  </r>
  <r>
    <x v="222"/>
    <s v="Estudiante_id_749"/>
    <x v="2"/>
    <x v="2"/>
    <d v="2025-01-09T00:00:00"/>
    <x v="0"/>
    <n v="97.45"/>
    <x v="0"/>
  </r>
  <r>
    <x v="223"/>
    <s v="Estudiante_id_751"/>
    <x v="3"/>
    <x v="3"/>
    <d v="2025-07-12T00:00:00"/>
    <x v="0"/>
    <n v="80.95"/>
    <x v="0"/>
  </r>
  <r>
    <x v="224"/>
    <s v="Estudiante_id_753"/>
    <x v="3"/>
    <x v="3"/>
    <d v="2025-05-12T00:00:00"/>
    <x v="0"/>
    <n v="83.57"/>
    <x v="0"/>
  </r>
  <r>
    <x v="225"/>
    <s v="Alumno_id_758"/>
    <x v="3"/>
    <x v="3"/>
    <d v="2025-11-21T00:00:00"/>
    <x v="0"/>
    <n v="80.849999999999994"/>
    <x v="0"/>
  </r>
  <r>
    <x v="226"/>
    <s v="Estudiante_id_762"/>
    <x v="2"/>
    <x v="2"/>
    <d v="2025-07-05T00:00:00"/>
    <x v="0"/>
    <n v="72.930000000000007"/>
    <x v="0"/>
  </r>
  <r>
    <x v="227"/>
    <s v="User_id_770"/>
    <x v="3"/>
    <x v="3"/>
    <d v="2025-03-15T00:00:00"/>
    <x v="0"/>
    <n v="93.08"/>
    <x v="0"/>
  </r>
  <r>
    <x v="228"/>
    <s v="User_id_773"/>
    <x v="2"/>
    <x v="2"/>
    <d v="2025-01-31T00:00:00"/>
    <x v="0"/>
    <n v="97.53"/>
    <x v="0"/>
  </r>
  <r>
    <x v="229"/>
    <s v="User_id_782"/>
    <x v="2"/>
    <x v="2"/>
    <d v="2025-12-27T00:00:00"/>
    <x v="0"/>
    <n v="89.28"/>
    <x v="0"/>
  </r>
  <r>
    <x v="230"/>
    <s v="Candidato_id_784"/>
    <x v="3"/>
    <x v="3"/>
    <d v="2025-07-21T00:00:00"/>
    <x v="0"/>
    <n v="71.13"/>
    <x v="0"/>
  </r>
  <r>
    <x v="231"/>
    <s v="User_id_798"/>
    <x v="2"/>
    <x v="2"/>
    <d v="2025-04-14T00:00:00"/>
    <x v="0"/>
    <n v="84.91"/>
    <x v="0"/>
  </r>
  <r>
    <x v="232"/>
    <s v="Estudiante_id_805"/>
    <x v="3"/>
    <x v="3"/>
    <d v="2025-11-14T00:00:00"/>
    <x v="0"/>
    <n v="74.290000000000006"/>
    <x v="0"/>
  </r>
  <r>
    <x v="233"/>
    <s v="Estudiante_id_809"/>
    <x v="2"/>
    <x v="2"/>
    <d v="2025-02-02T00:00:00"/>
    <x v="0"/>
    <n v="97.3"/>
    <x v="0"/>
  </r>
  <r>
    <x v="234"/>
    <s v="User_id_826"/>
    <x v="3"/>
    <x v="3"/>
    <d v="2025-08-22T00:00:00"/>
    <x v="0"/>
    <n v="93.08"/>
    <x v="0"/>
  </r>
  <r>
    <x v="235"/>
    <s v="Candidato_id_840"/>
    <x v="2"/>
    <x v="2"/>
    <d v="2025-01-01T00:00:00"/>
    <x v="0"/>
    <n v="96.84"/>
    <x v="0"/>
  </r>
  <r>
    <x v="236"/>
    <s v="User_id_844"/>
    <x v="3"/>
    <x v="3"/>
    <d v="2025-04-24T00:00:00"/>
    <x v="0"/>
    <n v="87.15"/>
    <x v="0"/>
  </r>
  <r>
    <x v="237"/>
    <s v="Estudiante_id_860"/>
    <x v="3"/>
    <x v="3"/>
    <d v="2025-05-22T00:00:00"/>
    <x v="0"/>
    <n v="98.55"/>
    <x v="0"/>
  </r>
  <r>
    <x v="238"/>
    <s v="Candidato_id_862"/>
    <x v="3"/>
    <x v="3"/>
    <d v="2025-01-24T00:00:00"/>
    <x v="0"/>
    <n v="85.1"/>
    <x v="0"/>
  </r>
  <r>
    <x v="239"/>
    <s v="User_id_863"/>
    <x v="2"/>
    <x v="2"/>
    <d v="2025-06-11T00:00:00"/>
    <x v="0"/>
    <n v="72.62"/>
    <x v="0"/>
  </r>
  <r>
    <x v="240"/>
    <s v="Candidato_id_876"/>
    <x v="2"/>
    <x v="2"/>
    <d v="2025-11-24T00:00:00"/>
    <x v="0"/>
    <n v="75.89"/>
    <x v="0"/>
  </r>
  <r>
    <x v="241"/>
    <s v="Alumno_id_907"/>
    <x v="3"/>
    <x v="3"/>
    <d v="2025-12-21T00:00:00"/>
    <x v="0"/>
    <n v="71.58"/>
    <x v="0"/>
  </r>
  <r>
    <x v="242"/>
    <s v="Estudiante_id_933"/>
    <x v="3"/>
    <x v="3"/>
    <d v="2025-02-23T00:00:00"/>
    <x v="0"/>
    <n v="86.76"/>
    <x v="0"/>
  </r>
  <r>
    <x v="243"/>
    <s v="Estudiante_id_944"/>
    <x v="2"/>
    <x v="2"/>
    <d v="2025-12-28T00:00:00"/>
    <x v="0"/>
    <n v="89.05"/>
    <x v="0"/>
  </r>
  <r>
    <x v="244"/>
    <s v="Estudiante_id_951"/>
    <x v="2"/>
    <x v="2"/>
    <d v="2025-04-05T00:00:00"/>
    <x v="0"/>
    <n v="85.2"/>
    <x v="0"/>
  </r>
  <r>
    <x v="245"/>
    <s v="User_id_964"/>
    <x v="2"/>
    <x v="2"/>
    <d v="2025-06-13T00:00:00"/>
    <x v="0"/>
    <n v="80.900000000000006"/>
    <x v="0"/>
  </r>
  <r>
    <x v="246"/>
    <s v="Candidato_id_969"/>
    <x v="2"/>
    <x v="2"/>
    <d v="2025-11-24T00:00:00"/>
    <x v="0"/>
    <n v="96.7"/>
    <x v="0"/>
  </r>
  <r>
    <x v="247"/>
    <s v="Alumno_id_973"/>
    <x v="3"/>
    <x v="3"/>
    <d v="2025-05-22T00:00:00"/>
    <x v="0"/>
    <n v="94.29"/>
    <x v="0"/>
  </r>
  <r>
    <x v="248"/>
    <s v="Candidato_id_978"/>
    <x v="2"/>
    <x v="2"/>
    <d v="2025-04-29T00:00:00"/>
    <x v="0"/>
    <n v="92.13"/>
    <x v="0"/>
  </r>
  <r>
    <x v="249"/>
    <s v="Candidato_id_979"/>
    <x v="3"/>
    <x v="3"/>
    <d v="2025-02-06T00:00:00"/>
    <x v="0"/>
    <n v="86.33"/>
    <x v="0"/>
  </r>
  <r>
    <x v="250"/>
    <s v="Estudiante_id_980"/>
    <x v="3"/>
    <x v="3"/>
    <d v="2025-09-09T00:00:00"/>
    <x v="0"/>
    <n v="88.78"/>
    <x v="0"/>
  </r>
  <r>
    <x v="251"/>
    <s v="Estudiante_id_989"/>
    <x v="3"/>
    <x v="3"/>
    <d v="2025-06-14T00:00:00"/>
    <x v="0"/>
    <n v="97.4"/>
    <x v="0"/>
  </r>
  <r>
    <x v="252"/>
    <s v="Estudiante_id_2"/>
    <x v="1"/>
    <x v="1"/>
    <d v="2025-08-02T00:00:00"/>
    <x v="1"/>
    <n v="88.3"/>
    <x v="0"/>
  </r>
  <r>
    <x v="253"/>
    <s v="User_id_9"/>
    <x v="3"/>
    <x v="3"/>
    <d v="2025-08-19T00:00:00"/>
    <x v="1"/>
    <n v="98.5"/>
    <x v="0"/>
  </r>
  <r>
    <x v="254"/>
    <s v="Alumno_id_28"/>
    <x v="2"/>
    <x v="2"/>
    <d v="2025-12-27T00:00:00"/>
    <x v="1"/>
    <n v="80.010000000000005"/>
    <x v="0"/>
  </r>
  <r>
    <x v="255"/>
    <s v="User_id_36"/>
    <x v="1"/>
    <x v="1"/>
    <d v="2025-09-25T00:00:00"/>
    <x v="1"/>
    <n v="95.99"/>
    <x v="0"/>
  </r>
  <r>
    <x v="256"/>
    <s v="Estudiante_id_57"/>
    <x v="1"/>
    <x v="1"/>
    <d v="2025-11-18T00:00:00"/>
    <x v="1"/>
    <n v="78.86"/>
    <x v="0"/>
  </r>
  <r>
    <x v="257"/>
    <s v="Alumno_id_90"/>
    <x v="1"/>
    <x v="1"/>
    <d v="2025-12-22T00:00:00"/>
    <x v="1"/>
    <n v="82.33"/>
    <x v="0"/>
  </r>
  <r>
    <x v="258"/>
    <s v="User_id_104"/>
    <x v="1"/>
    <x v="1"/>
    <d v="2025-10-02T00:00:00"/>
    <x v="1"/>
    <n v="87.98"/>
    <x v="0"/>
  </r>
  <r>
    <x v="259"/>
    <s v="Alumno_id_108"/>
    <x v="1"/>
    <x v="1"/>
    <d v="2025-06-18T00:00:00"/>
    <x v="1"/>
    <n v="83.89"/>
    <x v="0"/>
  </r>
  <r>
    <x v="260"/>
    <s v="Estudiante_id_113"/>
    <x v="1"/>
    <x v="1"/>
    <d v="2025-08-17T00:00:00"/>
    <x v="1"/>
    <n v="84.12"/>
    <x v="0"/>
  </r>
  <r>
    <x v="261"/>
    <s v="Candidato_id_118"/>
    <x v="1"/>
    <x v="1"/>
    <d v="2025-06-16T00:00:00"/>
    <x v="1"/>
    <n v="99.43"/>
    <x v="0"/>
  </r>
  <r>
    <x v="262"/>
    <s v="Estudiante_id_122"/>
    <x v="3"/>
    <x v="3"/>
    <d v="2025-06-23T00:00:00"/>
    <x v="1"/>
    <n v="88.81"/>
    <x v="0"/>
  </r>
  <r>
    <x v="263"/>
    <s v="Estudiante_id_127"/>
    <x v="3"/>
    <x v="3"/>
    <d v="2025-05-06T00:00:00"/>
    <x v="1"/>
    <n v="80.05"/>
    <x v="0"/>
  </r>
  <r>
    <x v="264"/>
    <s v="Candidato_id_138"/>
    <x v="2"/>
    <x v="2"/>
    <d v="2025-01-14T00:00:00"/>
    <x v="1"/>
    <n v="93.43"/>
    <x v="0"/>
  </r>
  <r>
    <x v="265"/>
    <s v="Estudiante_id_140"/>
    <x v="2"/>
    <x v="2"/>
    <d v="2025-06-17T00:00:00"/>
    <x v="1"/>
    <n v="94.84"/>
    <x v="0"/>
  </r>
  <r>
    <x v="266"/>
    <s v="Alumno_id_144"/>
    <x v="3"/>
    <x v="3"/>
    <d v="2025-06-09T00:00:00"/>
    <x v="1"/>
    <n v="72.72"/>
    <x v="0"/>
  </r>
  <r>
    <x v="267"/>
    <s v="Candidato_id_145"/>
    <x v="2"/>
    <x v="2"/>
    <d v="2025-07-19T00:00:00"/>
    <x v="1"/>
    <n v="79.81"/>
    <x v="0"/>
  </r>
  <r>
    <x v="268"/>
    <s v="Estudiante_id_160"/>
    <x v="1"/>
    <x v="1"/>
    <d v="2025-05-14T00:00:00"/>
    <x v="1"/>
    <n v="85.7"/>
    <x v="0"/>
  </r>
  <r>
    <x v="269"/>
    <s v="User_id_180"/>
    <x v="3"/>
    <x v="3"/>
    <d v="2025-11-11T00:00:00"/>
    <x v="1"/>
    <n v="71.75"/>
    <x v="0"/>
  </r>
  <r>
    <x v="270"/>
    <s v="Candidato_id_183"/>
    <x v="3"/>
    <x v="3"/>
    <d v="2025-01-17T00:00:00"/>
    <x v="1"/>
    <n v="82.77"/>
    <x v="0"/>
  </r>
  <r>
    <x v="271"/>
    <s v="User_id_193"/>
    <x v="2"/>
    <x v="2"/>
    <d v="2025-04-25T00:00:00"/>
    <x v="1"/>
    <n v="98.17"/>
    <x v="0"/>
  </r>
  <r>
    <x v="272"/>
    <s v="Candidato_id_194"/>
    <x v="3"/>
    <x v="3"/>
    <d v="2025-01-01T00:00:00"/>
    <x v="1"/>
    <n v="97.37"/>
    <x v="0"/>
  </r>
  <r>
    <x v="273"/>
    <s v="Candidato_id_200"/>
    <x v="3"/>
    <x v="3"/>
    <d v="2025-06-21T00:00:00"/>
    <x v="1"/>
    <n v="98.73"/>
    <x v="0"/>
  </r>
  <r>
    <x v="274"/>
    <s v="User_id_211"/>
    <x v="1"/>
    <x v="1"/>
    <d v="2025-10-29T00:00:00"/>
    <x v="1"/>
    <n v="82.09"/>
    <x v="0"/>
  </r>
  <r>
    <x v="275"/>
    <s v="User_id_217"/>
    <x v="3"/>
    <x v="3"/>
    <d v="2025-01-08T00:00:00"/>
    <x v="1"/>
    <n v="98.87"/>
    <x v="0"/>
  </r>
  <r>
    <x v="276"/>
    <s v="User_id_233"/>
    <x v="3"/>
    <x v="3"/>
    <d v="2025-06-05T00:00:00"/>
    <x v="1"/>
    <n v="87.65"/>
    <x v="0"/>
  </r>
  <r>
    <x v="277"/>
    <s v="Alumno_id_237"/>
    <x v="2"/>
    <x v="2"/>
    <d v="2025-11-09T00:00:00"/>
    <x v="1"/>
    <n v="99.34"/>
    <x v="0"/>
  </r>
  <r>
    <x v="278"/>
    <s v="User_id_239"/>
    <x v="1"/>
    <x v="1"/>
    <d v="2025-05-06T00:00:00"/>
    <x v="1"/>
    <n v="77.180000000000007"/>
    <x v="0"/>
  </r>
  <r>
    <x v="279"/>
    <s v="Estudiante_id_241"/>
    <x v="1"/>
    <x v="1"/>
    <d v="2025-05-29T00:00:00"/>
    <x v="1"/>
    <n v="74.78"/>
    <x v="0"/>
  </r>
  <r>
    <x v="280"/>
    <s v="User_id_242"/>
    <x v="1"/>
    <x v="1"/>
    <d v="2025-09-14T00:00:00"/>
    <x v="1"/>
    <n v="87.05"/>
    <x v="0"/>
  </r>
  <r>
    <x v="281"/>
    <s v="Alumno_id_255"/>
    <x v="3"/>
    <x v="3"/>
    <d v="2025-11-07T00:00:00"/>
    <x v="1"/>
    <n v="73.16"/>
    <x v="0"/>
  </r>
  <r>
    <x v="282"/>
    <s v="User_id_256"/>
    <x v="1"/>
    <x v="1"/>
    <d v="2025-05-14T00:00:00"/>
    <x v="1"/>
    <n v="75.63"/>
    <x v="0"/>
  </r>
  <r>
    <x v="283"/>
    <s v="Estudiante_id_259"/>
    <x v="3"/>
    <x v="3"/>
    <d v="2025-09-25T00:00:00"/>
    <x v="1"/>
    <n v="96.2"/>
    <x v="0"/>
  </r>
  <r>
    <x v="284"/>
    <s v="Alumno_id_262"/>
    <x v="3"/>
    <x v="3"/>
    <d v="2025-12-21T00:00:00"/>
    <x v="1"/>
    <n v="81.55"/>
    <x v="0"/>
  </r>
  <r>
    <x v="285"/>
    <s v="Estudiante_id_267"/>
    <x v="1"/>
    <x v="1"/>
    <d v="2025-01-25T00:00:00"/>
    <x v="1"/>
    <n v="74.900000000000006"/>
    <x v="0"/>
  </r>
  <r>
    <x v="286"/>
    <s v="Estudiante_id_275"/>
    <x v="2"/>
    <x v="2"/>
    <d v="2025-06-04T00:00:00"/>
    <x v="1"/>
    <n v="98.69"/>
    <x v="0"/>
  </r>
  <r>
    <x v="287"/>
    <s v="Estudiante_id_277"/>
    <x v="1"/>
    <x v="1"/>
    <d v="2025-11-19T00:00:00"/>
    <x v="1"/>
    <n v="78.709999999999994"/>
    <x v="0"/>
  </r>
  <r>
    <x v="288"/>
    <s v="Estudiante_id_288"/>
    <x v="1"/>
    <x v="1"/>
    <d v="2025-11-20T00:00:00"/>
    <x v="1"/>
    <n v="92.82"/>
    <x v="0"/>
  </r>
  <r>
    <x v="289"/>
    <s v="Alumno_id_292"/>
    <x v="2"/>
    <x v="2"/>
    <d v="2025-07-28T00:00:00"/>
    <x v="1"/>
    <n v="93.94"/>
    <x v="0"/>
  </r>
  <r>
    <x v="290"/>
    <s v="Alumno_id_315"/>
    <x v="3"/>
    <x v="3"/>
    <d v="2025-04-30T00:00:00"/>
    <x v="1"/>
    <n v="80.17"/>
    <x v="0"/>
  </r>
  <r>
    <x v="291"/>
    <s v="Candidato_id_317"/>
    <x v="2"/>
    <x v="2"/>
    <d v="2025-04-25T00:00:00"/>
    <x v="1"/>
    <n v="86.86"/>
    <x v="0"/>
  </r>
  <r>
    <x v="292"/>
    <s v="Alumno_id_321"/>
    <x v="2"/>
    <x v="2"/>
    <d v="2025-10-01T00:00:00"/>
    <x v="1"/>
    <n v="73.02"/>
    <x v="0"/>
  </r>
  <r>
    <x v="293"/>
    <s v="Alumno_id_322"/>
    <x v="1"/>
    <x v="1"/>
    <d v="2025-07-11T00:00:00"/>
    <x v="1"/>
    <n v="96.49"/>
    <x v="0"/>
  </r>
  <r>
    <x v="294"/>
    <s v="Candidato_id_333"/>
    <x v="2"/>
    <x v="2"/>
    <d v="2025-07-22T00:00:00"/>
    <x v="1"/>
    <n v="71.34"/>
    <x v="0"/>
  </r>
  <r>
    <x v="295"/>
    <s v="User_id_335"/>
    <x v="3"/>
    <x v="3"/>
    <d v="2025-03-08T00:00:00"/>
    <x v="1"/>
    <n v="79.67"/>
    <x v="0"/>
  </r>
  <r>
    <x v="296"/>
    <s v="Alumno_id_365"/>
    <x v="3"/>
    <x v="3"/>
    <d v="2025-07-15T00:00:00"/>
    <x v="1"/>
    <n v="73.650000000000006"/>
    <x v="0"/>
  </r>
  <r>
    <x v="297"/>
    <s v="Estudiante_id_391"/>
    <x v="1"/>
    <x v="1"/>
    <d v="2025-01-12T00:00:00"/>
    <x v="1"/>
    <n v="71.39"/>
    <x v="0"/>
  </r>
  <r>
    <x v="298"/>
    <s v="Alumno_id_395"/>
    <x v="2"/>
    <x v="2"/>
    <d v="2025-09-05T00:00:00"/>
    <x v="1"/>
    <n v="72.2"/>
    <x v="0"/>
  </r>
  <r>
    <x v="299"/>
    <s v="Candidato_id_410"/>
    <x v="3"/>
    <x v="3"/>
    <d v="2025-11-14T00:00:00"/>
    <x v="1"/>
    <n v="73.97"/>
    <x v="0"/>
  </r>
  <r>
    <x v="300"/>
    <s v="Candidato_id_413"/>
    <x v="3"/>
    <x v="3"/>
    <d v="2025-07-17T00:00:00"/>
    <x v="1"/>
    <n v="95.32"/>
    <x v="0"/>
  </r>
  <r>
    <x v="301"/>
    <s v="Candidato_id_417"/>
    <x v="1"/>
    <x v="1"/>
    <d v="2025-06-26T00:00:00"/>
    <x v="1"/>
    <n v="79.72"/>
    <x v="0"/>
  </r>
  <r>
    <x v="302"/>
    <s v="User_id_419"/>
    <x v="3"/>
    <x v="3"/>
    <d v="2025-01-30T00:00:00"/>
    <x v="1"/>
    <n v="83.16"/>
    <x v="0"/>
  </r>
  <r>
    <x v="303"/>
    <s v="Estudiante_id_420"/>
    <x v="2"/>
    <x v="2"/>
    <d v="2025-07-15T00:00:00"/>
    <x v="1"/>
    <n v="88.2"/>
    <x v="0"/>
  </r>
  <r>
    <x v="304"/>
    <s v="User_id_421"/>
    <x v="3"/>
    <x v="3"/>
    <d v="2025-03-02T00:00:00"/>
    <x v="1"/>
    <n v="78.95"/>
    <x v="0"/>
  </r>
  <r>
    <x v="305"/>
    <s v="User_id_425"/>
    <x v="1"/>
    <x v="1"/>
    <d v="2025-09-05T00:00:00"/>
    <x v="1"/>
    <n v="72.91"/>
    <x v="0"/>
  </r>
  <r>
    <x v="306"/>
    <s v="User_id_426"/>
    <x v="2"/>
    <x v="2"/>
    <d v="2025-11-17T00:00:00"/>
    <x v="1"/>
    <n v="73.430000000000007"/>
    <x v="0"/>
  </r>
  <r>
    <x v="307"/>
    <s v="User_id_427"/>
    <x v="3"/>
    <x v="3"/>
    <d v="2025-09-22T00:00:00"/>
    <x v="1"/>
    <n v="70.89"/>
    <x v="0"/>
  </r>
  <r>
    <x v="308"/>
    <s v="User_id_429"/>
    <x v="1"/>
    <x v="1"/>
    <d v="2025-10-06T00:00:00"/>
    <x v="1"/>
    <n v="80.680000000000007"/>
    <x v="0"/>
  </r>
  <r>
    <x v="309"/>
    <s v="Alumno_id_446"/>
    <x v="2"/>
    <x v="2"/>
    <d v="2025-08-31T00:00:00"/>
    <x v="1"/>
    <n v="90.05"/>
    <x v="0"/>
  </r>
  <r>
    <x v="310"/>
    <s v="User_id_457"/>
    <x v="2"/>
    <x v="2"/>
    <d v="2025-05-08T00:00:00"/>
    <x v="1"/>
    <n v="83.53"/>
    <x v="0"/>
  </r>
  <r>
    <x v="311"/>
    <s v="User_id_459"/>
    <x v="2"/>
    <x v="2"/>
    <d v="2025-08-26T00:00:00"/>
    <x v="1"/>
    <n v="92.94"/>
    <x v="0"/>
  </r>
  <r>
    <x v="312"/>
    <s v="User_id_472"/>
    <x v="2"/>
    <x v="2"/>
    <d v="2025-12-30T00:00:00"/>
    <x v="1"/>
    <n v="91.16"/>
    <x v="0"/>
  </r>
  <r>
    <x v="313"/>
    <s v="Candidato_id_480"/>
    <x v="1"/>
    <x v="1"/>
    <d v="2025-02-01T00:00:00"/>
    <x v="1"/>
    <n v="98.23"/>
    <x v="0"/>
  </r>
  <r>
    <x v="314"/>
    <s v="Estudiante_id_484"/>
    <x v="2"/>
    <x v="2"/>
    <d v="2025-11-06T00:00:00"/>
    <x v="1"/>
    <n v="85.75"/>
    <x v="0"/>
  </r>
  <r>
    <x v="315"/>
    <s v="Estudiante_id_486"/>
    <x v="1"/>
    <x v="1"/>
    <d v="2025-08-10T00:00:00"/>
    <x v="1"/>
    <n v="98.63"/>
    <x v="0"/>
  </r>
  <r>
    <x v="316"/>
    <s v="Alumno_id_505"/>
    <x v="3"/>
    <x v="3"/>
    <d v="2025-12-16T00:00:00"/>
    <x v="1"/>
    <n v="96.72"/>
    <x v="0"/>
  </r>
  <r>
    <x v="317"/>
    <s v="Estudiante_id_506"/>
    <x v="2"/>
    <x v="2"/>
    <d v="2025-11-13T00:00:00"/>
    <x v="1"/>
    <n v="74.760000000000005"/>
    <x v="0"/>
  </r>
  <r>
    <x v="318"/>
    <s v="User_id_512"/>
    <x v="3"/>
    <x v="3"/>
    <d v="2025-06-24T00:00:00"/>
    <x v="1"/>
    <n v="98.28"/>
    <x v="0"/>
  </r>
  <r>
    <x v="319"/>
    <s v="Estudiante_id_513"/>
    <x v="1"/>
    <x v="1"/>
    <d v="2025-03-14T00:00:00"/>
    <x v="1"/>
    <n v="82"/>
    <x v="0"/>
  </r>
  <r>
    <x v="320"/>
    <s v="User_id_516"/>
    <x v="1"/>
    <x v="1"/>
    <d v="2025-07-20T00:00:00"/>
    <x v="1"/>
    <n v="98.38"/>
    <x v="0"/>
  </r>
  <r>
    <x v="321"/>
    <s v="User_id_518"/>
    <x v="1"/>
    <x v="1"/>
    <d v="2025-02-10T00:00:00"/>
    <x v="1"/>
    <n v="82.4"/>
    <x v="0"/>
  </r>
  <r>
    <x v="322"/>
    <s v="Alumno_id_523"/>
    <x v="2"/>
    <x v="2"/>
    <d v="2025-01-25T00:00:00"/>
    <x v="1"/>
    <n v="83.4"/>
    <x v="0"/>
  </r>
  <r>
    <x v="323"/>
    <s v="Alumno_id_524"/>
    <x v="3"/>
    <x v="3"/>
    <d v="2025-08-11T00:00:00"/>
    <x v="1"/>
    <n v="95.24"/>
    <x v="0"/>
  </r>
  <r>
    <x v="324"/>
    <s v="Estudiante_id_530"/>
    <x v="3"/>
    <x v="3"/>
    <d v="2025-05-11T00:00:00"/>
    <x v="1"/>
    <n v="97.06"/>
    <x v="0"/>
  </r>
  <r>
    <x v="325"/>
    <s v="User_id_536"/>
    <x v="2"/>
    <x v="2"/>
    <d v="2025-05-28T00:00:00"/>
    <x v="1"/>
    <n v="91.39"/>
    <x v="0"/>
  </r>
  <r>
    <x v="326"/>
    <s v="Estudiante_id_548"/>
    <x v="2"/>
    <x v="2"/>
    <d v="2025-03-09T00:00:00"/>
    <x v="1"/>
    <n v="82.09"/>
    <x v="0"/>
  </r>
  <r>
    <x v="327"/>
    <s v="Estudiante_id_561"/>
    <x v="3"/>
    <x v="3"/>
    <d v="2025-06-24T00:00:00"/>
    <x v="1"/>
    <n v="87.81"/>
    <x v="0"/>
  </r>
  <r>
    <x v="328"/>
    <s v="Estudiante_id_564"/>
    <x v="1"/>
    <x v="1"/>
    <d v="2025-10-23T00:00:00"/>
    <x v="1"/>
    <n v="84.32"/>
    <x v="0"/>
  </r>
  <r>
    <x v="329"/>
    <s v="Alumno_id_565"/>
    <x v="3"/>
    <x v="3"/>
    <d v="2025-01-04T00:00:00"/>
    <x v="1"/>
    <n v="87.71"/>
    <x v="0"/>
  </r>
  <r>
    <x v="330"/>
    <s v="Alumno_id_567"/>
    <x v="2"/>
    <x v="2"/>
    <d v="2025-11-15T00:00:00"/>
    <x v="1"/>
    <n v="73.3"/>
    <x v="0"/>
  </r>
  <r>
    <x v="331"/>
    <s v="Candidato_id_570"/>
    <x v="2"/>
    <x v="2"/>
    <d v="2025-11-14T00:00:00"/>
    <x v="1"/>
    <n v="88.53"/>
    <x v="0"/>
  </r>
  <r>
    <x v="332"/>
    <s v="Estudiante_id_596"/>
    <x v="2"/>
    <x v="2"/>
    <d v="2025-12-28T00:00:00"/>
    <x v="1"/>
    <n v="98.16"/>
    <x v="0"/>
  </r>
  <r>
    <x v="333"/>
    <s v="Estudiante_id_608"/>
    <x v="2"/>
    <x v="2"/>
    <d v="2025-02-03T00:00:00"/>
    <x v="1"/>
    <n v="92.36"/>
    <x v="0"/>
  </r>
  <r>
    <x v="334"/>
    <s v="Alumno_id_616"/>
    <x v="3"/>
    <x v="3"/>
    <d v="2025-04-18T00:00:00"/>
    <x v="1"/>
    <n v="86.65"/>
    <x v="0"/>
  </r>
  <r>
    <x v="335"/>
    <s v="Candidato_id_618"/>
    <x v="2"/>
    <x v="2"/>
    <d v="2025-09-17T00:00:00"/>
    <x v="1"/>
    <n v="84.36"/>
    <x v="0"/>
  </r>
  <r>
    <x v="336"/>
    <s v="Estudiante_id_622"/>
    <x v="1"/>
    <x v="1"/>
    <d v="2025-07-16T00:00:00"/>
    <x v="1"/>
    <n v="82.4"/>
    <x v="0"/>
  </r>
  <r>
    <x v="337"/>
    <s v="Alumno_id_628"/>
    <x v="3"/>
    <x v="3"/>
    <d v="2025-11-09T00:00:00"/>
    <x v="1"/>
    <n v="83.75"/>
    <x v="0"/>
  </r>
  <r>
    <x v="338"/>
    <s v="Estudiante_id_635"/>
    <x v="1"/>
    <x v="1"/>
    <d v="2025-03-23T00:00:00"/>
    <x v="1"/>
    <n v="88.6"/>
    <x v="0"/>
  </r>
  <r>
    <x v="339"/>
    <s v="Alumno_id_650"/>
    <x v="3"/>
    <x v="3"/>
    <d v="2025-11-02T00:00:00"/>
    <x v="1"/>
    <n v="99.17"/>
    <x v="0"/>
  </r>
  <r>
    <x v="340"/>
    <s v="User_id_663"/>
    <x v="1"/>
    <x v="1"/>
    <d v="2025-12-24T00:00:00"/>
    <x v="1"/>
    <n v="84.71"/>
    <x v="0"/>
  </r>
  <r>
    <x v="341"/>
    <s v="Alumno_id_664"/>
    <x v="2"/>
    <x v="2"/>
    <d v="2025-02-12T00:00:00"/>
    <x v="1"/>
    <n v="91.72"/>
    <x v="0"/>
  </r>
  <r>
    <x v="342"/>
    <s v="Estudiante_id_671"/>
    <x v="1"/>
    <x v="1"/>
    <d v="2025-06-22T00:00:00"/>
    <x v="1"/>
    <n v="72.45"/>
    <x v="0"/>
  </r>
  <r>
    <x v="343"/>
    <s v="User_id_674"/>
    <x v="3"/>
    <x v="3"/>
    <d v="2025-09-01T00:00:00"/>
    <x v="1"/>
    <n v="99.57"/>
    <x v="0"/>
  </r>
  <r>
    <x v="344"/>
    <s v="Estudiante_id_691"/>
    <x v="3"/>
    <x v="3"/>
    <d v="2025-11-10T00:00:00"/>
    <x v="1"/>
    <n v="92.68"/>
    <x v="0"/>
  </r>
  <r>
    <x v="345"/>
    <s v="Candidato_id_715"/>
    <x v="2"/>
    <x v="2"/>
    <d v="2025-04-15T00:00:00"/>
    <x v="1"/>
    <n v="71.209999999999994"/>
    <x v="0"/>
  </r>
  <r>
    <x v="346"/>
    <s v="Candidato_id_724"/>
    <x v="3"/>
    <x v="3"/>
    <d v="2025-03-18T00:00:00"/>
    <x v="1"/>
    <n v="77.540000000000006"/>
    <x v="0"/>
  </r>
  <r>
    <x v="347"/>
    <s v="Alumno_id_730"/>
    <x v="1"/>
    <x v="1"/>
    <d v="2025-11-21T00:00:00"/>
    <x v="1"/>
    <n v="72.680000000000007"/>
    <x v="0"/>
  </r>
  <r>
    <x v="348"/>
    <s v="Estudiante_id_737"/>
    <x v="2"/>
    <x v="2"/>
    <d v="2025-09-25T00:00:00"/>
    <x v="1"/>
    <n v="79.099999999999994"/>
    <x v="0"/>
  </r>
  <r>
    <x v="349"/>
    <s v="User_id_739"/>
    <x v="1"/>
    <x v="1"/>
    <d v="2025-06-30T00:00:00"/>
    <x v="1"/>
    <n v="73.14"/>
    <x v="0"/>
  </r>
  <r>
    <x v="350"/>
    <s v="Estudiante_id_741"/>
    <x v="1"/>
    <x v="1"/>
    <d v="2025-06-29T00:00:00"/>
    <x v="1"/>
    <n v="73.180000000000007"/>
    <x v="0"/>
  </r>
  <r>
    <x v="351"/>
    <s v="User_id_759"/>
    <x v="2"/>
    <x v="2"/>
    <d v="2025-04-04T00:00:00"/>
    <x v="1"/>
    <n v="91.35"/>
    <x v="0"/>
  </r>
  <r>
    <x v="352"/>
    <s v="User_id_761"/>
    <x v="2"/>
    <x v="2"/>
    <d v="2025-02-21T00:00:00"/>
    <x v="1"/>
    <n v="79.28"/>
    <x v="0"/>
  </r>
  <r>
    <x v="353"/>
    <s v="Estudiante_id_766"/>
    <x v="2"/>
    <x v="2"/>
    <d v="2025-05-28T00:00:00"/>
    <x v="1"/>
    <n v="95.42"/>
    <x v="0"/>
  </r>
  <r>
    <x v="354"/>
    <s v="User_id_768"/>
    <x v="2"/>
    <x v="2"/>
    <d v="2025-01-17T00:00:00"/>
    <x v="1"/>
    <n v="93.92"/>
    <x v="0"/>
  </r>
  <r>
    <x v="355"/>
    <s v="Estudiante_id_777"/>
    <x v="1"/>
    <x v="1"/>
    <d v="2025-05-07T00:00:00"/>
    <x v="1"/>
    <n v="89.6"/>
    <x v="0"/>
  </r>
  <r>
    <x v="356"/>
    <s v="Alumno_id_789"/>
    <x v="1"/>
    <x v="1"/>
    <d v="2025-03-07T00:00:00"/>
    <x v="1"/>
    <n v="74.62"/>
    <x v="0"/>
  </r>
  <r>
    <x v="357"/>
    <s v="User_id_792"/>
    <x v="1"/>
    <x v="1"/>
    <d v="2025-01-30T00:00:00"/>
    <x v="1"/>
    <n v="90.49"/>
    <x v="0"/>
  </r>
  <r>
    <x v="358"/>
    <s v="Alumno_id_808"/>
    <x v="3"/>
    <x v="3"/>
    <d v="2025-01-28T00:00:00"/>
    <x v="1"/>
    <n v="89.95"/>
    <x v="0"/>
  </r>
  <r>
    <x v="359"/>
    <s v="User_id_812"/>
    <x v="2"/>
    <x v="2"/>
    <d v="2025-06-12T00:00:00"/>
    <x v="1"/>
    <n v="84.49"/>
    <x v="0"/>
  </r>
  <r>
    <x v="360"/>
    <s v="Estudiante_id_814"/>
    <x v="2"/>
    <x v="2"/>
    <d v="2025-05-08T00:00:00"/>
    <x v="1"/>
    <n v="77.209999999999994"/>
    <x v="0"/>
  </r>
  <r>
    <x v="361"/>
    <s v="Candidato_id_816"/>
    <x v="1"/>
    <x v="1"/>
    <d v="2025-10-24T00:00:00"/>
    <x v="1"/>
    <n v="70.05"/>
    <x v="0"/>
  </r>
  <r>
    <x v="362"/>
    <s v="Estudiante_id_823"/>
    <x v="3"/>
    <x v="3"/>
    <d v="2025-05-24T00:00:00"/>
    <x v="1"/>
    <n v="91.53"/>
    <x v="0"/>
  </r>
  <r>
    <x v="363"/>
    <s v="Candidato_id_831"/>
    <x v="2"/>
    <x v="2"/>
    <d v="2025-06-28T00:00:00"/>
    <x v="1"/>
    <n v="82.16"/>
    <x v="0"/>
  </r>
  <r>
    <x v="364"/>
    <s v="Estudiante_id_845"/>
    <x v="3"/>
    <x v="3"/>
    <d v="2025-04-02T00:00:00"/>
    <x v="1"/>
    <n v="86.35"/>
    <x v="0"/>
  </r>
  <r>
    <x v="365"/>
    <s v="User_id_855"/>
    <x v="3"/>
    <x v="3"/>
    <d v="2025-04-14T00:00:00"/>
    <x v="1"/>
    <n v="92.83"/>
    <x v="0"/>
  </r>
  <r>
    <x v="366"/>
    <s v="Alumno_id_890"/>
    <x v="3"/>
    <x v="3"/>
    <d v="2025-06-02T00:00:00"/>
    <x v="1"/>
    <n v="73.88"/>
    <x v="0"/>
  </r>
  <r>
    <x v="367"/>
    <s v="Estudiante_id_895"/>
    <x v="3"/>
    <x v="3"/>
    <d v="2025-02-15T00:00:00"/>
    <x v="1"/>
    <n v="73.08"/>
    <x v="0"/>
  </r>
  <r>
    <x v="368"/>
    <s v="Alumno_id_910"/>
    <x v="1"/>
    <x v="1"/>
    <d v="2025-11-13T00:00:00"/>
    <x v="1"/>
    <n v="92.73"/>
    <x v="0"/>
  </r>
  <r>
    <x v="369"/>
    <s v="Estudiante_id_911"/>
    <x v="3"/>
    <x v="3"/>
    <d v="2025-12-25T00:00:00"/>
    <x v="1"/>
    <n v="93.12"/>
    <x v="0"/>
  </r>
  <r>
    <x v="370"/>
    <s v="Estudiante_id_921"/>
    <x v="1"/>
    <x v="1"/>
    <d v="2025-10-31T00:00:00"/>
    <x v="1"/>
    <n v="72.92"/>
    <x v="0"/>
  </r>
  <r>
    <x v="371"/>
    <s v="User_id_925"/>
    <x v="1"/>
    <x v="1"/>
    <d v="2025-05-30T00:00:00"/>
    <x v="1"/>
    <n v="81.150000000000006"/>
    <x v="0"/>
  </r>
  <r>
    <x v="372"/>
    <s v="User_id_928"/>
    <x v="1"/>
    <x v="1"/>
    <d v="2025-08-19T00:00:00"/>
    <x v="1"/>
    <n v="77.73"/>
    <x v="0"/>
  </r>
  <r>
    <x v="373"/>
    <s v="Estudiante_id_929"/>
    <x v="1"/>
    <x v="1"/>
    <d v="2025-11-04T00:00:00"/>
    <x v="1"/>
    <n v="88.8"/>
    <x v="0"/>
  </r>
  <r>
    <x v="374"/>
    <s v="Candidato_id_931"/>
    <x v="1"/>
    <x v="1"/>
    <d v="2025-09-18T00:00:00"/>
    <x v="1"/>
    <n v="74.069999999999993"/>
    <x v="0"/>
  </r>
  <r>
    <x v="375"/>
    <s v="Alumno_id_937"/>
    <x v="3"/>
    <x v="3"/>
    <d v="2025-04-04T00:00:00"/>
    <x v="1"/>
    <n v="73.17"/>
    <x v="0"/>
  </r>
  <r>
    <x v="376"/>
    <s v="Estudiante_id_939"/>
    <x v="2"/>
    <x v="2"/>
    <d v="2025-12-07T00:00:00"/>
    <x v="1"/>
    <n v="81.25"/>
    <x v="0"/>
  </r>
  <r>
    <x v="377"/>
    <s v="Estudiante_id_940"/>
    <x v="1"/>
    <x v="1"/>
    <d v="2025-10-11T00:00:00"/>
    <x v="1"/>
    <n v="97.73"/>
    <x v="0"/>
  </r>
  <r>
    <x v="378"/>
    <s v="Estudiante_id_941"/>
    <x v="2"/>
    <x v="2"/>
    <d v="2025-03-01T00:00:00"/>
    <x v="1"/>
    <n v="91.09"/>
    <x v="0"/>
  </r>
  <r>
    <x v="379"/>
    <s v="Candidato_id_952"/>
    <x v="1"/>
    <x v="1"/>
    <d v="2025-10-26T00:00:00"/>
    <x v="1"/>
    <n v="94.81"/>
    <x v="0"/>
  </r>
  <r>
    <x v="380"/>
    <s v="Candidato_id_957"/>
    <x v="1"/>
    <x v="1"/>
    <d v="2025-04-01T00:00:00"/>
    <x v="1"/>
    <n v="98.03"/>
    <x v="0"/>
  </r>
  <r>
    <x v="381"/>
    <s v="User_id_962"/>
    <x v="1"/>
    <x v="1"/>
    <d v="2025-06-23T00:00:00"/>
    <x v="1"/>
    <n v="78.47"/>
    <x v="0"/>
  </r>
  <r>
    <x v="382"/>
    <s v="Estudiante_id_965"/>
    <x v="1"/>
    <x v="1"/>
    <d v="2025-04-05T00:00:00"/>
    <x v="1"/>
    <n v="78.34"/>
    <x v="0"/>
  </r>
  <r>
    <x v="383"/>
    <s v="User_id_967"/>
    <x v="3"/>
    <x v="3"/>
    <d v="2025-09-27T00:00:00"/>
    <x v="1"/>
    <n v="96.46"/>
    <x v="0"/>
  </r>
  <r>
    <x v="384"/>
    <s v="User_id_981"/>
    <x v="3"/>
    <x v="3"/>
    <d v="2025-08-02T00:00:00"/>
    <x v="1"/>
    <n v="73.94"/>
    <x v="0"/>
  </r>
  <r>
    <x v="385"/>
    <s v="Alumno_id_985"/>
    <x v="2"/>
    <x v="2"/>
    <d v="2025-03-03T00:00:00"/>
    <x v="1"/>
    <n v="97.93"/>
    <x v="0"/>
  </r>
  <r>
    <x v="386"/>
    <s v="Candidato_id_988"/>
    <x v="2"/>
    <x v="2"/>
    <d v="2025-02-10T00:00:00"/>
    <x v="1"/>
    <n v="91.32"/>
    <x v="0"/>
  </r>
  <r>
    <x v="387"/>
    <s v="Estudiante_id_998"/>
    <x v="1"/>
    <x v="1"/>
    <d v="2025-06-11T00:00:00"/>
    <x v="1"/>
    <n v="79.91"/>
    <x v="0"/>
  </r>
  <r>
    <x v="388"/>
    <s v="Alumno_id_11"/>
    <x v="0"/>
    <x v="0"/>
    <d v="2025-01-12T00:00:00"/>
    <x v="1"/>
    <n v="97.91"/>
    <x v="0"/>
  </r>
  <r>
    <x v="389"/>
    <s v="User_id_55"/>
    <x v="0"/>
    <x v="0"/>
    <d v="2025-02-13T00:00:00"/>
    <x v="1"/>
    <n v="77.66"/>
    <x v="0"/>
  </r>
  <r>
    <x v="390"/>
    <s v="Estudiante_id_64"/>
    <x v="0"/>
    <x v="0"/>
    <d v="2025-08-23T00:00:00"/>
    <x v="1"/>
    <n v="89.2"/>
    <x v="0"/>
  </r>
  <r>
    <x v="391"/>
    <s v="Estudiante_id_75"/>
    <x v="0"/>
    <x v="0"/>
    <d v="2025-04-19T00:00:00"/>
    <x v="1"/>
    <n v="84.37"/>
    <x v="0"/>
  </r>
  <r>
    <x v="392"/>
    <s v="Estudiante_id_76"/>
    <x v="0"/>
    <x v="0"/>
    <d v="2025-02-23T00:00:00"/>
    <x v="1"/>
    <n v="93.59"/>
    <x v="0"/>
  </r>
  <r>
    <x v="393"/>
    <s v="Alumno_id_86"/>
    <x v="0"/>
    <x v="0"/>
    <d v="2025-08-27T00:00:00"/>
    <x v="1"/>
    <n v="86.57"/>
    <x v="0"/>
  </r>
  <r>
    <x v="394"/>
    <s v="User_id_87"/>
    <x v="0"/>
    <x v="0"/>
    <d v="2025-02-22T00:00:00"/>
    <x v="1"/>
    <n v="77.930000000000007"/>
    <x v="0"/>
  </r>
  <r>
    <x v="395"/>
    <s v="User_id_106"/>
    <x v="0"/>
    <x v="0"/>
    <d v="2025-09-23T00:00:00"/>
    <x v="1"/>
    <n v="99.38"/>
    <x v="0"/>
  </r>
  <r>
    <x v="396"/>
    <s v="Estudiante_id_123"/>
    <x v="0"/>
    <x v="0"/>
    <d v="2025-01-21T00:00:00"/>
    <x v="1"/>
    <n v="77.94"/>
    <x v="0"/>
  </r>
  <r>
    <x v="397"/>
    <s v="Estudiante_id_125"/>
    <x v="0"/>
    <x v="0"/>
    <d v="2025-02-28T00:00:00"/>
    <x v="1"/>
    <n v="75.45"/>
    <x v="0"/>
  </r>
  <r>
    <x v="398"/>
    <s v="User_id_131"/>
    <x v="0"/>
    <x v="0"/>
    <d v="2025-10-10T00:00:00"/>
    <x v="1"/>
    <n v="84.12"/>
    <x v="0"/>
  </r>
  <r>
    <x v="399"/>
    <s v="User_id_137"/>
    <x v="0"/>
    <x v="0"/>
    <d v="2025-03-21T00:00:00"/>
    <x v="1"/>
    <n v="77.5"/>
    <x v="0"/>
  </r>
  <r>
    <x v="400"/>
    <s v="User_id_165"/>
    <x v="0"/>
    <x v="0"/>
    <d v="2025-01-02T00:00:00"/>
    <x v="1"/>
    <n v="77.48"/>
    <x v="0"/>
  </r>
  <r>
    <x v="401"/>
    <s v="Alumno_id_178"/>
    <x v="0"/>
    <x v="0"/>
    <d v="2025-06-01T00:00:00"/>
    <x v="1"/>
    <n v="84.96"/>
    <x v="0"/>
  </r>
  <r>
    <x v="402"/>
    <s v="Estudiante_id_182"/>
    <x v="0"/>
    <x v="0"/>
    <d v="2025-10-10T00:00:00"/>
    <x v="1"/>
    <n v="91.82"/>
    <x v="0"/>
  </r>
  <r>
    <x v="403"/>
    <s v="Estudiante_id_187"/>
    <x v="0"/>
    <x v="0"/>
    <d v="2025-12-09T00:00:00"/>
    <x v="1"/>
    <n v="73.510000000000005"/>
    <x v="0"/>
  </r>
  <r>
    <x v="404"/>
    <s v="Candidato_id_216"/>
    <x v="0"/>
    <x v="0"/>
    <d v="2025-07-17T00:00:00"/>
    <x v="1"/>
    <n v="83.13"/>
    <x v="0"/>
  </r>
  <r>
    <x v="405"/>
    <s v="Alumno_id_219"/>
    <x v="0"/>
    <x v="0"/>
    <d v="2025-10-17T00:00:00"/>
    <x v="1"/>
    <n v="70.819999999999993"/>
    <x v="0"/>
  </r>
  <r>
    <x v="406"/>
    <s v="Estudiante_id_230"/>
    <x v="0"/>
    <x v="0"/>
    <d v="2025-05-20T00:00:00"/>
    <x v="1"/>
    <n v="94.97"/>
    <x v="0"/>
  </r>
  <r>
    <x v="407"/>
    <s v="Alumno_id_243"/>
    <x v="0"/>
    <x v="0"/>
    <d v="2025-10-06T00:00:00"/>
    <x v="1"/>
    <n v="72.11"/>
    <x v="0"/>
  </r>
  <r>
    <x v="408"/>
    <s v="Alumno_id_248"/>
    <x v="0"/>
    <x v="0"/>
    <d v="2025-12-06T00:00:00"/>
    <x v="1"/>
    <n v="97.77"/>
    <x v="0"/>
  </r>
  <r>
    <x v="409"/>
    <s v="Estudiante_id_253"/>
    <x v="0"/>
    <x v="0"/>
    <d v="2025-04-20T00:00:00"/>
    <x v="1"/>
    <n v="72.86"/>
    <x v="0"/>
  </r>
  <r>
    <x v="410"/>
    <s v="Estudiante_id_274"/>
    <x v="0"/>
    <x v="0"/>
    <d v="2025-01-13T00:00:00"/>
    <x v="1"/>
    <n v="82.21"/>
    <x v="0"/>
  </r>
  <r>
    <x v="411"/>
    <s v="User_id_281"/>
    <x v="0"/>
    <x v="0"/>
    <d v="2025-03-18T00:00:00"/>
    <x v="1"/>
    <n v="85.77"/>
    <x v="0"/>
  </r>
  <r>
    <x v="412"/>
    <s v="Alumno_id_300"/>
    <x v="0"/>
    <x v="0"/>
    <d v="2025-04-22T00:00:00"/>
    <x v="1"/>
    <n v="74.37"/>
    <x v="0"/>
  </r>
  <r>
    <x v="413"/>
    <s v="Estudiante_id_318"/>
    <x v="0"/>
    <x v="0"/>
    <d v="2025-11-09T00:00:00"/>
    <x v="1"/>
    <n v="87.93"/>
    <x v="0"/>
  </r>
  <r>
    <x v="414"/>
    <s v="Candidato_id_323"/>
    <x v="0"/>
    <x v="0"/>
    <d v="2025-01-28T00:00:00"/>
    <x v="1"/>
    <n v="83.31"/>
    <x v="0"/>
  </r>
  <r>
    <x v="415"/>
    <s v="Estudiante_id_337"/>
    <x v="0"/>
    <x v="0"/>
    <d v="2025-04-19T00:00:00"/>
    <x v="1"/>
    <n v="90.3"/>
    <x v="0"/>
  </r>
  <r>
    <x v="416"/>
    <s v="Alumno_id_347"/>
    <x v="0"/>
    <x v="0"/>
    <d v="2025-08-19T00:00:00"/>
    <x v="1"/>
    <n v="85.63"/>
    <x v="0"/>
  </r>
  <r>
    <x v="417"/>
    <s v="User_id_359"/>
    <x v="0"/>
    <x v="0"/>
    <d v="2025-09-19T00:00:00"/>
    <x v="1"/>
    <n v="77"/>
    <x v="0"/>
  </r>
  <r>
    <x v="418"/>
    <s v="User_id_369"/>
    <x v="0"/>
    <x v="0"/>
    <d v="2025-12-30T00:00:00"/>
    <x v="1"/>
    <n v="73.7"/>
    <x v="0"/>
  </r>
  <r>
    <x v="419"/>
    <s v="User_id_377"/>
    <x v="0"/>
    <x v="0"/>
    <d v="2025-03-02T00:00:00"/>
    <x v="1"/>
    <n v="83.52"/>
    <x v="0"/>
  </r>
  <r>
    <x v="420"/>
    <s v="User_id_478"/>
    <x v="0"/>
    <x v="0"/>
    <d v="2025-06-11T00:00:00"/>
    <x v="1"/>
    <n v="70.489999999999995"/>
    <x v="0"/>
  </r>
  <r>
    <x v="421"/>
    <s v="Estudiante_id_479"/>
    <x v="0"/>
    <x v="0"/>
    <d v="2025-10-29T00:00:00"/>
    <x v="1"/>
    <n v="71.33"/>
    <x v="0"/>
  </r>
  <r>
    <x v="422"/>
    <s v="Estudiante_id_500"/>
    <x v="0"/>
    <x v="0"/>
    <d v="2025-11-27T00:00:00"/>
    <x v="1"/>
    <n v="70.38"/>
    <x v="0"/>
  </r>
  <r>
    <x v="423"/>
    <s v="User_id_501"/>
    <x v="0"/>
    <x v="0"/>
    <d v="2025-05-03T00:00:00"/>
    <x v="1"/>
    <n v="75.09"/>
    <x v="0"/>
  </r>
  <r>
    <x v="424"/>
    <s v="User_id_531"/>
    <x v="0"/>
    <x v="0"/>
    <d v="2025-08-12T00:00:00"/>
    <x v="1"/>
    <n v="98.13"/>
    <x v="0"/>
  </r>
  <r>
    <x v="425"/>
    <s v="User_id_644"/>
    <x v="0"/>
    <x v="0"/>
    <d v="2025-10-06T00:00:00"/>
    <x v="1"/>
    <n v="87.94"/>
    <x v="0"/>
  </r>
  <r>
    <x v="426"/>
    <s v="Estudiante_id_648"/>
    <x v="0"/>
    <x v="0"/>
    <d v="2025-04-14T00:00:00"/>
    <x v="1"/>
    <n v="85.1"/>
    <x v="0"/>
  </r>
  <r>
    <x v="427"/>
    <s v="User_id_667"/>
    <x v="0"/>
    <x v="0"/>
    <d v="2025-01-31T00:00:00"/>
    <x v="1"/>
    <n v="91.72"/>
    <x v="0"/>
  </r>
  <r>
    <x v="428"/>
    <s v="User_id_668"/>
    <x v="0"/>
    <x v="0"/>
    <d v="2025-12-28T00:00:00"/>
    <x v="1"/>
    <n v="86.03"/>
    <x v="0"/>
  </r>
  <r>
    <x v="429"/>
    <s v="Alumno_id_701"/>
    <x v="0"/>
    <x v="0"/>
    <d v="2025-11-13T00:00:00"/>
    <x v="1"/>
    <n v="77.790000000000006"/>
    <x v="0"/>
  </r>
  <r>
    <x v="430"/>
    <s v="Candidato_id_713"/>
    <x v="0"/>
    <x v="0"/>
    <d v="2025-10-24T00:00:00"/>
    <x v="1"/>
    <n v="91.17"/>
    <x v="0"/>
  </r>
  <r>
    <x v="431"/>
    <s v="Alumno_id_720"/>
    <x v="0"/>
    <x v="0"/>
    <d v="2025-06-05T00:00:00"/>
    <x v="1"/>
    <n v="90.26"/>
    <x v="0"/>
  </r>
  <r>
    <x v="432"/>
    <s v="User_id_755"/>
    <x v="0"/>
    <x v="0"/>
    <d v="2025-02-06T00:00:00"/>
    <x v="1"/>
    <n v="83.46"/>
    <x v="0"/>
  </r>
  <r>
    <x v="433"/>
    <s v="Estudiante_id_765"/>
    <x v="0"/>
    <x v="0"/>
    <d v="2025-03-12T00:00:00"/>
    <x v="1"/>
    <n v="97.17"/>
    <x v="0"/>
  </r>
  <r>
    <x v="434"/>
    <s v="Alumno_id_780"/>
    <x v="0"/>
    <x v="0"/>
    <d v="2025-07-25T00:00:00"/>
    <x v="1"/>
    <n v="71.5"/>
    <x v="0"/>
  </r>
  <r>
    <x v="435"/>
    <s v="User_id_786"/>
    <x v="0"/>
    <x v="0"/>
    <d v="2025-11-25T00:00:00"/>
    <x v="1"/>
    <n v="87.64"/>
    <x v="0"/>
  </r>
  <r>
    <x v="436"/>
    <s v="Alumno_id_793"/>
    <x v="0"/>
    <x v="0"/>
    <d v="2025-06-17T00:00:00"/>
    <x v="1"/>
    <n v="71"/>
    <x v="0"/>
  </r>
  <r>
    <x v="437"/>
    <s v="Estudiante_id_804"/>
    <x v="0"/>
    <x v="0"/>
    <d v="2025-10-21T00:00:00"/>
    <x v="1"/>
    <n v="72.180000000000007"/>
    <x v="0"/>
  </r>
  <r>
    <x v="438"/>
    <s v="Estudiante_id_836"/>
    <x v="0"/>
    <x v="0"/>
    <d v="2025-12-08T00:00:00"/>
    <x v="1"/>
    <n v="97.97"/>
    <x v="0"/>
  </r>
  <r>
    <x v="439"/>
    <s v="Alumno_id_858"/>
    <x v="0"/>
    <x v="0"/>
    <d v="2025-09-28T00:00:00"/>
    <x v="1"/>
    <n v="76.66"/>
    <x v="0"/>
  </r>
  <r>
    <x v="440"/>
    <s v="Alumno_id_867"/>
    <x v="0"/>
    <x v="0"/>
    <d v="2025-05-07T00:00:00"/>
    <x v="1"/>
    <n v="79.16"/>
    <x v="0"/>
  </r>
  <r>
    <x v="441"/>
    <s v="User_id_871"/>
    <x v="0"/>
    <x v="0"/>
    <d v="2025-03-08T00:00:00"/>
    <x v="1"/>
    <n v="83.12"/>
    <x v="0"/>
  </r>
  <r>
    <x v="442"/>
    <s v="Alumno_id_886"/>
    <x v="0"/>
    <x v="0"/>
    <d v="2025-03-27T00:00:00"/>
    <x v="1"/>
    <n v="92.74"/>
    <x v="0"/>
  </r>
  <r>
    <x v="443"/>
    <s v="Alumno_id_889"/>
    <x v="0"/>
    <x v="0"/>
    <d v="2025-07-11T00:00:00"/>
    <x v="1"/>
    <n v="82.74"/>
    <x v="0"/>
  </r>
  <r>
    <x v="444"/>
    <s v="User_id_894"/>
    <x v="0"/>
    <x v="0"/>
    <d v="2025-08-29T00:00:00"/>
    <x v="1"/>
    <n v="78.040000000000006"/>
    <x v="0"/>
  </r>
  <r>
    <x v="445"/>
    <s v="User_id_898"/>
    <x v="0"/>
    <x v="0"/>
    <d v="2025-05-27T00:00:00"/>
    <x v="1"/>
    <n v="95.01"/>
    <x v="0"/>
  </r>
  <r>
    <x v="446"/>
    <s v="User_id_900"/>
    <x v="0"/>
    <x v="0"/>
    <d v="2025-06-02T00:00:00"/>
    <x v="1"/>
    <n v="70.61"/>
    <x v="0"/>
  </r>
  <r>
    <x v="447"/>
    <s v="Estudiante_id_909"/>
    <x v="0"/>
    <x v="0"/>
    <d v="2025-12-20T00:00:00"/>
    <x v="1"/>
    <n v="98.64"/>
    <x v="0"/>
  </r>
  <r>
    <x v="448"/>
    <s v="Estudiante_id_943"/>
    <x v="0"/>
    <x v="0"/>
    <d v="2025-10-29T00:00:00"/>
    <x v="1"/>
    <n v="74.760000000000005"/>
    <x v="0"/>
  </r>
  <r>
    <x v="449"/>
    <s v="Candidato_id_975"/>
    <x v="0"/>
    <x v="0"/>
    <d v="2025-01-24T00:00:00"/>
    <x v="1"/>
    <n v="88.52"/>
    <x v="0"/>
  </r>
  <r>
    <x v="450"/>
    <s v="User_id_982"/>
    <x v="0"/>
    <x v="0"/>
    <d v="2025-12-22T00:00:00"/>
    <x v="1"/>
    <n v="92.92"/>
    <x v="0"/>
  </r>
  <r>
    <x v="451"/>
    <s v="Estudiante_id_995"/>
    <x v="0"/>
    <x v="0"/>
    <d v="2025-03-01T00:00:00"/>
    <x v="1"/>
    <n v="98.38"/>
    <x v="0"/>
  </r>
  <r>
    <x v="452"/>
    <s v="Estudiante_id_4"/>
    <x v="0"/>
    <x v="0"/>
    <d v="2025-11-13T00:00:00"/>
    <x v="2"/>
    <n v="73.64"/>
    <x v="0"/>
  </r>
  <r>
    <x v="453"/>
    <s v="Estudiante_id_7"/>
    <x v="2"/>
    <x v="2"/>
    <d v="2025-03-28T00:00:00"/>
    <x v="2"/>
    <n v="98.3"/>
    <x v="0"/>
  </r>
  <r>
    <x v="454"/>
    <s v="User_id_8"/>
    <x v="1"/>
    <x v="1"/>
    <d v="2025-06-18T00:00:00"/>
    <x v="2"/>
    <n v="82.84"/>
    <x v="0"/>
  </r>
  <r>
    <x v="455"/>
    <s v="Candidato_id_12"/>
    <x v="2"/>
    <x v="2"/>
    <d v="2025-04-28T00:00:00"/>
    <x v="2"/>
    <n v="91.57"/>
    <x v="0"/>
  </r>
  <r>
    <x v="456"/>
    <s v="Estudiante_id_27"/>
    <x v="2"/>
    <x v="2"/>
    <d v="2025-09-29T00:00:00"/>
    <x v="2"/>
    <n v="70.34"/>
    <x v="0"/>
  </r>
  <r>
    <x v="457"/>
    <s v="Estudiante_id_30"/>
    <x v="0"/>
    <x v="0"/>
    <d v="2025-04-16T00:00:00"/>
    <x v="2"/>
    <n v="92.14"/>
    <x v="0"/>
  </r>
  <r>
    <x v="458"/>
    <s v="Estudiante_id_38"/>
    <x v="0"/>
    <x v="0"/>
    <d v="2025-07-19T00:00:00"/>
    <x v="2"/>
    <n v="79.34"/>
    <x v="0"/>
  </r>
  <r>
    <x v="459"/>
    <s v="User_id_42"/>
    <x v="0"/>
    <x v="0"/>
    <d v="2025-07-25T00:00:00"/>
    <x v="2"/>
    <n v="90.28"/>
    <x v="0"/>
  </r>
  <r>
    <x v="460"/>
    <s v="Candidato_id_45"/>
    <x v="1"/>
    <x v="1"/>
    <d v="2025-10-19T00:00:00"/>
    <x v="2"/>
    <n v="74.34"/>
    <x v="0"/>
  </r>
  <r>
    <x v="461"/>
    <s v="User_id_52"/>
    <x v="1"/>
    <x v="1"/>
    <d v="2025-12-09T00:00:00"/>
    <x v="2"/>
    <n v="75.61"/>
    <x v="0"/>
  </r>
  <r>
    <x v="462"/>
    <s v="Alumno_id_58"/>
    <x v="2"/>
    <x v="2"/>
    <d v="2025-01-17T00:00:00"/>
    <x v="2"/>
    <n v="73.27"/>
    <x v="0"/>
  </r>
  <r>
    <x v="463"/>
    <s v="Estudiante_id_60"/>
    <x v="1"/>
    <x v="1"/>
    <d v="2025-07-23T00:00:00"/>
    <x v="2"/>
    <n v="95.96"/>
    <x v="0"/>
  </r>
  <r>
    <x v="464"/>
    <s v="Estudiante_id_70"/>
    <x v="3"/>
    <x v="3"/>
    <d v="2025-01-03T00:00:00"/>
    <x v="2"/>
    <n v="94.33"/>
    <x v="0"/>
  </r>
  <r>
    <x v="465"/>
    <s v="Alumno_id_89"/>
    <x v="3"/>
    <x v="3"/>
    <d v="2025-07-19T00:00:00"/>
    <x v="2"/>
    <n v="79.58"/>
    <x v="0"/>
  </r>
  <r>
    <x v="466"/>
    <s v="Estudiante_id_94"/>
    <x v="2"/>
    <x v="2"/>
    <d v="2025-11-12T00:00:00"/>
    <x v="2"/>
    <n v="83.1"/>
    <x v="0"/>
  </r>
  <r>
    <x v="467"/>
    <s v="User_id_107"/>
    <x v="3"/>
    <x v="3"/>
    <d v="2025-03-06T00:00:00"/>
    <x v="2"/>
    <n v="98.01"/>
    <x v="0"/>
  </r>
  <r>
    <x v="468"/>
    <s v="Candidato_id_111"/>
    <x v="0"/>
    <x v="0"/>
    <d v="2025-01-08T00:00:00"/>
    <x v="2"/>
    <n v="73.37"/>
    <x v="0"/>
  </r>
  <r>
    <x v="469"/>
    <s v="Alumno_id_114"/>
    <x v="2"/>
    <x v="2"/>
    <d v="2025-05-20T00:00:00"/>
    <x v="2"/>
    <n v="90.73"/>
    <x v="0"/>
  </r>
  <r>
    <x v="470"/>
    <s v="Estudiante_id_126"/>
    <x v="2"/>
    <x v="2"/>
    <d v="2025-10-31T00:00:00"/>
    <x v="2"/>
    <n v="74.38"/>
    <x v="0"/>
  </r>
  <r>
    <x v="471"/>
    <s v="Alumno_id_133"/>
    <x v="1"/>
    <x v="1"/>
    <d v="2025-05-03T00:00:00"/>
    <x v="2"/>
    <n v="94.83"/>
    <x v="0"/>
  </r>
  <r>
    <x v="472"/>
    <s v="Estudiante_id_139"/>
    <x v="0"/>
    <x v="0"/>
    <d v="2025-01-07T00:00:00"/>
    <x v="2"/>
    <n v="94.35"/>
    <x v="0"/>
  </r>
  <r>
    <x v="473"/>
    <s v="Alumno_id_142"/>
    <x v="2"/>
    <x v="2"/>
    <d v="2025-01-28T00:00:00"/>
    <x v="2"/>
    <n v="76.739999999999995"/>
    <x v="0"/>
  </r>
  <r>
    <x v="474"/>
    <s v="Estudiante_id_152"/>
    <x v="0"/>
    <x v="0"/>
    <d v="2025-09-16T00:00:00"/>
    <x v="2"/>
    <n v="86.22"/>
    <x v="0"/>
  </r>
  <r>
    <x v="475"/>
    <s v="Alumno_id_161"/>
    <x v="0"/>
    <x v="0"/>
    <d v="2025-02-02T00:00:00"/>
    <x v="2"/>
    <n v="72.48"/>
    <x v="0"/>
  </r>
  <r>
    <x v="476"/>
    <s v="Candidato_id_169"/>
    <x v="0"/>
    <x v="0"/>
    <d v="2025-04-04T00:00:00"/>
    <x v="2"/>
    <n v="99.42"/>
    <x v="0"/>
  </r>
  <r>
    <x v="477"/>
    <s v="Estudiante_id_173"/>
    <x v="1"/>
    <x v="1"/>
    <d v="2025-10-26T00:00:00"/>
    <x v="2"/>
    <n v="72.02"/>
    <x v="0"/>
  </r>
  <r>
    <x v="478"/>
    <s v="User_id_186"/>
    <x v="0"/>
    <x v="0"/>
    <d v="2025-02-07T00:00:00"/>
    <x v="2"/>
    <n v="82.94"/>
    <x v="0"/>
  </r>
  <r>
    <x v="479"/>
    <s v="Alumno_id_188"/>
    <x v="0"/>
    <x v="0"/>
    <d v="2025-03-13T00:00:00"/>
    <x v="2"/>
    <n v="81.95"/>
    <x v="0"/>
  </r>
  <r>
    <x v="480"/>
    <s v="Alumno_id_190"/>
    <x v="2"/>
    <x v="2"/>
    <d v="2025-10-11T00:00:00"/>
    <x v="2"/>
    <n v="77.36"/>
    <x v="0"/>
  </r>
  <r>
    <x v="481"/>
    <s v="Alumno_id_192"/>
    <x v="0"/>
    <x v="0"/>
    <d v="2025-05-13T00:00:00"/>
    <x v="2"/>
    <n v="94.85"/>
    <x v="0"/>
  </r>
  <r>
    <x v="482"/>
    <s v="Alumno_id_206"/>
    <x v="3"/>
    <x v="3"/>
    <d v="2025-11-20T00:00:00"/>
    <x v="2"/>
    <n v="95.61"/>
    <x v="0"/>
  </r>
  <r>
    <x v="483"/>
    <s v="Estudiante_id_208"/>
    <x v="1"/>
    <x v="1"/>
    <d v="2025-08-08T00:00:00"/>
    <x v="2"/>
    <n v="80.540000000000006"/>
    <x v="0"/>
  </r>
  <r>
    <x v="484"/>
    <s v="Candidato_id_210"/>
    <x v="2"/>
    <x v="2"/>
    <d v="2025-10-10T00:00:00"/>
    <x v="2"/>
    <n v="86.15"/>
    <x v="0"/>
  </r>
  <r>
    <x v="485"/>
    <s v="Estudiante_id_231"/>
    <x v="0"/>
    <x v="0"/>
    <d v="2025-03-01T00:00:00"/>
    <x v="2"/>
    <n v="79.92"/>
    <x v="0"/>
  </r>
  <r>
    <x v="486"/>
    <s v="Alumno_id_238"/>
    <x v="0"/>
    <x v="0"/>
    <d v="2025-01-08T00:00:00"/>
    <x v="2"/>
    <n v="96.08"/>
    <x v="0"/>
  </r>
  <r>
    <x v="487"/>
    <s v="Alumno_id_247"/>
    <x v="1"/>
    <x v="1"/>
    <d v="2025-12-29T00:00:00"/>
    <x v="2"/>
    <n v="91.81"/>
    <x v="0"/>
  </r>
  <r>
    <x v="488"/>
    <s v="User_id_250"/>
    <x v="3"/>
    <x v="3"/>
    <d v="2025-11-12T00:00:00"/>
    <x v="2"/>
    <n v="73.59"/>
    <x v="0"/>
  </r>
  <r>
    <x v="489"/>
    <s v="Alumno_id_258"/>
    <x v="1"/>
    <x v="1"/>
    <d v="2025-02-08T00:00:00"/>
    <x v="2"/>
    <n v="82.04"/>
    <x v="0"/>
  </r>
  <r>
    <x v="490"/>
    <s v="User_id_276"/>
    <x v="2"/>
    <x v="2"/>
    <d v="2025-03-14T00:00:00"/>
    <x v="2"/>
    <n v="70.31"/>
    <x v="0"/>
  </r>
  <r>
    <x v="491"/>
    <s v="Alumno_id_280"/>
    <x v="3"/>
    <x v="3"/>
    <d v="2025-06-21T00:00:00"/>
    <x v="2"/>
    <n v="90.29"/>
    <x v="0"/>
  </r>
  <r>
    <x v="492"/>
    <s v="Alumno_id_289"/>
    <x v="0"/>
    <x v="0"/>
    <d v="2025-06-25T00:00:00"/>
    <x v="2"/>
    <n v="84.96"/>
    <x v="0"/>
  </r>
  <r>
    <x v="493"/>
    <s v="Candidato_id_290"/>
    <x v="0"/>
    <x v="0"/>
    <d v="2025-10-08T00:00:00"/>
    <x v="2"/>
    <n v="91.54"/>
    <x v="0"/>
  </r>
  <r>
    <x v="494"/>
    <s v="Alumno_id_296"/>
    <x v="2"/>
    <x v="2"/>
    <d v="2025-08-04T00:00:00"/>
    <x v="2"/>
    <n v="77.73"/>
    <x v="0"/>
  </r>
  <r>
    <x v="495"/>
    <s v="Candidato_id_299"/>
    <x v="3"/>
    <x v="3"/>
    <d v="2025-06-18T00:00:00"/>
    <x v="2"/>
    <n v="87.51"/>
    <x v="0"/>
  </r>
  <r>
    <x v="496"/>
    <s v="Alumno_id_303"/>
    <x v="2"/>
    <x v="2"/>
    <d v="2025-11-13T00:00:00"/>
    <x v="2"/>
    <n v="88.3"/>
    <x v="0"/>
  </r>
  <r>
    <x v="497"/>
    <s v="Candidato_id_306"/>
    <x v="2"/>
    <x v="2"/>
    <d v="2025-03-04T00:00:00"/>
    <x v="2"/>
    <n v="76.900000000000006"/>
    <x v="0"/>
  </r>
  <r>
    <x v="498"/>
    <s v="Candidato_id_309"/>
    <x v="3"/>
    <x v="3"/>
    <d v="2025-03-26T00:00:00"/>
    <x v="2"/>
    <n v="72.23"/>
    <x v="0"/>
  </r>
  <r>
    <x v="499"/>
    <s v="User_id_312"/>
    <x v="1"/>
    <x v="1"/>
    <d v="2025-01-11T00:00:00"/>
    <x v="2"/>
    <n v="81.14"/>
    <x v="0"/>
  </r>
  <r>
    <x v="500"/>
    <s v="Candidato_id_324"/>
    <x v="2"/>
    <x v="2"/>
    <d v="2025-10-14T00:00:00"/>
    <x v="2"/>
    <n v="93.54"/>
    <x v="0"/>
  </r>
  <r>
    <x v="501"/>
    <s v="User_id_325"/>
    <x v="3"/>
    <x v="3"/>
    <d v="2025-05-09T00:00:00"/>
    <x v="2"/>
    <n v="74.16"/>
    <x v="0"/>
  </r>
  <r>
    <x v="502"/>
    <s v="Alumno_id_327"/>
    <x v="2"/>
    <x v="2"/>
    <d v="2025-11-18T00:00:00"/>
    <x v="2"/>
    <n v="71.95"/>
    <x v="0"/>
  </r>
  <r>
    <x v="503"/>
    <s v="Estudiante_id_336"/>
    <x v="0"/>
    <x v="0"/>
    <d v="2025-12-21T00:00:00"/>
    <x v="2"/>
    <n v="78.150000000000006"/>
    <x v="0"/>
  </r>
  <r>
    <x v="504"/>
    <s v="Estudiante_id_340"/>
    <x v="3"/>
    <x v="3"/>
    <d v="2025-12-26T00:00:00"/>
    <x v="2"/>
    <n v="99.68"/>
    <x v="0"/>
  </r>
  <r>
    <x v="505"/>
    <s v="Estudiante_id_341"/>
    <x v="3"/>
    <x v="3"/>
    <d v="2025-05-27T00:00:00"/>
    <x v="2"/>
    <n v="77.75"/>
    <x v="0"/>
  </r>
  <r>
    <x v="506"/>
    <s v="Alumno_id_350"/>
    <x v="0"/>
    <x v="0"/>
    <d v="2025-02-11T00:00:00"/>
    <x v="2"/>
    <n v="85.26"/>
    <x v="0"/>
  </r>
  <r>
    <x v="507"/>
    <s v="Estudiante_id_352"/>
    <x v="1"/>
    <x v="1"/>
    <d v="2025-11-15T00:00:00"/>
    <x v="2"/>
    <n v="80.39"/>
    <x v="0"/>
  </r>
  <r>
    <x v="508"/>
    <s v="Alumno_id_364"/>
    <x v="1"/>
    <x v="1"/>
    <d v="2025-01-13T00:00:00"/>
    <x v="2"/>
    <n v="91.11"/>
    <x v="0"/>
  </r>
  <r>
    <x v="509"/>
    <s v="User_id_367"/>
    <x v="3"/>
    <x v="3"/>
    <d v="2025-03-23T00:00:00"/>
    <x v="2"/>
    <n v="90.05"/>
    <x v="0"/>
  </r>
  <r>
    <x v="510"/>
    <s v="User_id_375"/>
    <x v="2"/>
    <x v="2"/>
    <d v="2025-07-12T00:00:00"/>
    <x v="2"/>
    <n v="98.57"/>
    <x v="0"/>
  </r>
  <r>
    <x v="511"/>
    <s v="Estudiante_id_382"/>
    <x v="0"/>
    <x v="0"/>
    <d v="2025-01-14T00:00:00"/>
    <x v="2"/>
    <n v="80.19"/>
    <x v="0"/>
  </r>
  <r>
    <x v="512"/>
    <s v="User_id_396"/>
    <x v="1"/>
    <x v="1"/>
    <d v="2025-11-21T00:00:00"/>
    <x v="2"/>
    <n v="95.43"/>
    <x v="0"/>
  </r>
  <r>
    <x v="513"/>
    <s v="User_id_397"/>
    <x v="3"/>
    <x v="3"/>
    <d v="2025-08-18T00:00:00"/>
    <x v="2"/>
    <n v="87.6"/>
    <x v="0"/>
  </r>
  <r>
    <x v="514"/>
    <s v="Alumno_id_399"/>
    <x v="3"/>
    <x v="3"/>
    <d v="2025-02-08T00:00:00"/>
    <x v="2"/>
    <n v="77.510000000000005"/>
    <x v="0"/>
  </r>
  <r>
    <x v="515"/>
    <s v="Candidato_id_401"/>
    <x v="2"/>
    <x v="2"/>
    <d v="2025-06-06T00:00:00"/>
    <x v="2"/>
    <n v="87.29"/>
    <x v="0"/>
  </r>
  <r>
    <x v="516"/>
    <s v="Estudiante_id_407"/>
    <x v="1"/>
    <x v="1"/>
    <d v="2025-03-26T00:00:00"/>
    <x v="2"/>
    <n v="71.900000000000006"/>
    <x v="0"/>
  </r>
  <r>
    <x v="517"/>
    <s v="Alumno_id_411"/>
    <x v="2"/>
    <x v="2"/>
    <d v="2025-08-06T00:00:00"/>
    <x v="2"/>
    <n v="83.38"/>
    <x v="0"/>
  </r>
  <r>
    <x v="518"/>
    <s v="Alumno_id_412"/>
    <x v="2"/>
    <x v="2"/>
    <d v="2025-12-22T00:00:00"/>
    <x v="2"/>
    <n v="81.27"/>
    <x v="0"/>
  </r>
  <r>
    <x v="519"/>
    <s v="User_id_415"/>
    <x v="3"/>
    <x v="3"/>
    <d v="2025-11-25T00:00:00"/>
    <x v="2"/>
    <n v="97.69"/>
    <x v="0"/>
  </r>
  <r>
    <x v="520"/>
    <s v="Candidato_id_418"/>
    <x v="2"/>
    <x v="2"/>
    <d v="2025-10-05T00:00:00"/>
    <x v="2"/>
    <n v="91.64"/>
    <x v="0"/>
  </r>
  <r>
    <x v="521"/>
    <s v="Alumno_id_424"/>
    <x v="3"/>
    <x v="3"/>
    <d v="2025-02-09T00:00:00"/>
    <x v="2"/>
    <n v="75.73"/>
    <x v="0"/>
  </r>
  <r>
    <x v="522"/>
    <s v="Estudiante_id_430"/>
    <x v="1"/>
    <x v="1"/>
    <d v="2025-10-17T00:00:00"/>
    <x v="2"/>
    <n v="92.4"/>
    <x v="0"/>
  </r>
  <r>
    <x v="523"/>
    <s v="Estudiante_id_433"/>
    <x v="3"/>
    <x v="3"/>
    <d v="2025-09-11T00:00:00"/>
    <x v="2"/>
    <n v="95.85"/>
    <x v="0"/>
  </r>
  <r>
    <x v="524"/>
    <s v="Estudiante_id_440"/>
    <x v="0"/>
    <x v="0"/>
    <d v="2025-06-20T00:00:00"/>
    <x v="2"/>
    <n v="71.38"/>
    <x v="0"/>
  </r>
  <r>
    <x v="525"/>
    <s v="Alumno_id_441"/>
    <x v="2"/>
    <x v="2"/>
    <d v="2025-09-26T00:00:00"/>
    <x v="2"/>
    <n v="98.59"/>
    <x v="0"/>
  </r>
  <r>
    <x v="526"/>
    <s v="Alumno_id_454"/>
    <x v="3"/>
    <x v="3"/>
    <d v="2025-06-18T00:00:00"/>
    <x v="2"/>
    <n v="78.040000000000006"/>
    <x v="0"/>
  </r>
  <r>
    <x v="527"/>
    <s v="Alumno_id_463"/>
    <x v="3"/>
    <x v="3"/>
    <d v="2025-05-20T00:00:00"/>
    <x v="2"/>
    <n v="71.75"/>
    <x v="0"/>
  </r>
  <r>
    <x v="528"/>
    <s v="Alumno_id_471"/>
    <x v="2"/>
    <x v="2"/>
    <d v="2025-10-23T00:00:00"/>
    <x v="2"/>
    <n v="74.569999999999993"/>
    <x v="0"/>
  </r>
  <r>
    <x v="529"/>
    <s v="Estudiante_id_485"/>
    <x v="3"/>
    <x v="3"/>
    <d v="2025-02-15T00:00:00"/>
    <x v="2"/>
    <n v="71.52"/>
    <x v="0"/>
  </r>
  <r>
    <x v="530"/>
    <s v="Alumno_id_492"/>
    <x v="1"/>
    <x v="1"/>
    <d v="2025-01-01T00:00:00"/>
    <x v="2"/>
    <n v="85.48"/>
    <x v="0"/>
  </r>
  <r>
    <x v="531"/>
    <s v="Estudiante_id_495"/>
    <x v="3"/>
    <x v="3"/>
    <d v="2025-11-14T00:00:00"/>
    <x v="2"/>
    <n v="95.58"/>
    <x v="0"/>
  </r>
  <r>
    <x v="532"/>
    <s v="User_id_499"/>
    <x v="3"/>
    <x v="3"/>
    <d v="2025-03-18T00:00:00"/>
    <x v="2"/>
    <n v="83.9"/>
    <x v="0"/>
  </r>
  <r>
    <x v="533"/>
    <s v="Candidato_id_504"/>
    <x v="1"/>
    <x v="1"/>
    <d v="2025-05-26T00:00:00"/>
    <x v="2"/>
    <n v="98.68"/>
    <x v="0"/>
  </r>
  <r>
    <x v="534"/>
    <s v="Alumno_id_517"/>
    <x v="0"/>
    <x v="0"/>
    <d v="2025-07-29T00:00:00"/>
    <x v="2"/>
    <n v="96.45"/>
    <x v="0"/>
  </r>
  <r>
    <x v="535"/>
    <s v="Alumno_id_519"/>
    <x v="0"/>
    <x v="0"/>
    <d v="2025-07-14T00:00:00"/>
    <x v="2"/>
    <n v="79.38"/>
    <x v="0"/>
  </r>
  <r>
    <x v="536"/>
    <s v="User_id_527"/>
    <x v="0"/>
    <x v="0"/>
    <d v="2025-03-09T00:00:00"/>
    <x v="2"/>
    <n v="71.05"/>
    <x v="0"/>
  </r>
  <r>
    <x v="537"/>
    <s v="Estudiante_id_529"/>
    <x v="0"/>
    <x v="0"/>
    <d v="2025-06-29T00:00:00"/>
    <x v="2"/>
    <n v="90.75"/>
    <x v="0"/>
  </r>
  <r>
    <x v="538"/>
    <s v="Estudiante_id_532"/>
    <x v="1"/>
    <x v="1"/>
    <d v="2025-08-03T00:00:00"/>
    <x v="2"/>
    <n v="97.59"/>
    <x v="0"/>
  </r>
  <r>
    <x v="539"/>
    <s v="Alumno_id_533"/>
    <x v="2"/>
    <x v="2"/>
    <d v="2025-09-06T00:00:00"/>
    <x v="2"/>
    <n v="79.209999999999994"/>
    <x v="0"/>
  </r>
  <r>
    <x v="540"/>
    <s v="User_id_555"/>
    <x v="2"/>
    <x v="2"/>
    <d v="2025-10-08T00:00:00"/>
    <x v="2"/>
    <n v="89.62"/>
    <x v="0"/>
  </r>
  <r>
    <x v="541"/>
    <s v="Alumno_id_557"/>
    <x v="2"/>
    <x v="2"/>
    <d v="2025-02-17T00:00:00"/>
    <x v="2"/>
    <n v="89.84"/>
    <x v="0"/>
  </r>
  <r>
    <x v="542"/>
    <s v="Estudiante_id_562"/>
    <x v="2"/>
    <x v="2"/>
    <d v="2025-08-25T00:00:00"/>
    <x v="2"/>
    <n v="83.72"/>
    <x v="0"/>
  </r>
  <r>
    <x v="543"/>
    <s v="Estudiante_id_568"/>
    <x v="0"/>
    <x v="0"/>
    <d v="2025-09-07T00:00:00"/>
    <x v="2"/>
    <n v="87.42"/>
    <x v="0"/>
  </r>
  <r>
    <x v="544"/>
    <s v="User_id_575"/>
    <x v="3"/>
    <x v="3"/>
    <d v="2025-07-30T00:00:00"/>
    <x v="2"/>
    <n v="87.48"/>
    <x v="0"/>
  </r>
  <r>
    <x v="545"/>
    <s v="User_id_577"/>
    <x v="3"/>
    <x v="3"/>
    <d v="2025-02-10T00:00:00"/>
    <x v="2"/>
    <n v="71.39"/>
    <x v="0"/>
  </r>
  <r>
    <x v="546"/>
    <s v="User_id_584"/>
    <x v="1"/>
    <x v="1"/>
    <d v="2025-10-27T00:00:00"/>
    <x v="2"/>
    <n v="82.06"/>
    <x v="0"/>
  </r>
  <r>
    <x v="547"/>
    <s v="Candidato_id_587"/>
    <x v="2"/>
    <x v="2"/>
    <d v="2025-07-23T00:00:00"/>
    <x v="2"/>
    <n v="73.540000000000006"/>
    <x v="0"/>
  </r>
  <r>
    <x v="548"/>
    <s v="Estudiante_id_598"/>
    <x v="0"/>
    <x v="0"/>
    <d v="2025-07-06T00:00:00"/>
    <x v="2"/>
    <n v="74.739999999999995"/>
    <x v="0"/>
  </r>
  <r>
    <x v="549"/>
    <s v="Estudiante_id_600"/>
    <x v="3"/>
    <x v="3"/>
    <d v="2025-10-02T00:00:00"/>
    <x v="2"/>
    <n v="91.62"/>
    <x v="0"/>
  </r>
  <r>
    <x v="550"/>
    <s v="Estudiante_id_602"/>
    <x v="3"/>
    <x v="3"/>
    <d v="2025-08-09T00:00:00"/>
    <x v="2"/>
    <n v="72"/>
    <x v="0"/>
  </r>
  <r>
    <x v="551"/>
    <s v="Estudiante_id_612"/>
    <x v="3"/>
    <x v="3"/>
    <d v="2025-10-26T00:00:00"/>
    <x v="2"/>
    <n v="94.42"/>
    <x v="0"/>
  </r>
  <r>
    <x v="552"/>
    <s v="Candidato_id_615"/>
    <x v="3"/>
    <x v="3"/>
    <d v="2025-03-16T00:00:00"/>
    <x v="2"/>
    <n v="95.06"/>
    <x v="0"/>
  </r>
  <r>
    <x v="553"/>
    <s v="Candidato_id_640"/>
    <x v="1"/>
    <x v="1"/>
    <d v="2025-08-24T00:00:00"/>
    <x v="2"/>
    <n v="76.27"/>
    <x v="0"/>
  </r>
  <r>
    <x v="554"/>
    <s v="Alumno_id_647"/>
    <x v="2"/>
    <x v="2"/>
    <d v="2025-11-20T00:00:00"/>
    <x v="2"/>
    <n v="84.33"/>
    <x v="0"/>
  </r>
  <r>
    <x v="555"/>
    <s v="Candidato_id_659"/>
    <x v="3"/>
    <x v="3"/>
    <d v="2025-05-28T00:00:00"/>
    <x v="2"/>
    <n v="98.53"/>
    <x v="0"/>
  </r>
  <r>
    <x v="556"/>
    <s v="User_id_665"/>
    <x v="2"/>
    <x v="2"/>
    <d v="2025-12-14T00:00:00"/>
    <x v="2"/>
    <n v="70.37"/>
    <x v="0"/>
  </r>
  <r>
    <x v="557"/>
    <s v="Estudiante_id_673"/>
    <x v="1"/>
    <x v="1"/>
    <d v="2025-08-07T00:00:00"/>
    <x v="2"/>
    <n v="80.66"/>
    <x v="0"/>
  </r>
  <r>
    <x v="558"/>
    <s v="Alumno_id_677"/>
    <x v="1"/>
    <x v="1"/>
    <d v="2025-12-02T00:00:00"/>
    <x v="2"/>
    <n v="74.099999999999994"/>
    <x v="0"/>
  </r>
  <r>
    <x v="559"/>
    <s v="User_id_683"/>
    <x v="0"/>
    <x v="0"/>
    <d v="2025-12-20T00:00:00"/>
    <x v="2"/>
    <n v="75.94"/>
    <x v="0"/>
  </r>
  <r>
    <x v="560"/>
    <s v="User_id_684"/>
    <x v="3"/>
    <x v="3"/>
    <d v="2025-10-23T00:00:00"/>
    <x v="2"/>
    <n v="94.29"/>
    <x v="0"/>
  </r>
  <r>
    <x v="561"/>
    <s v="Candidato_id_690"/>
    <x v="3"/>
    <x v="3"/>
    <d v="2025-05-17T00:00:00"/>
    <x v="2"/>
    <n v="79.680000000000007"/>
    <x v="0"/>
  </r>
  <r>
    <x v="562"/>
    <s v="Estudiante_id_693"/>
    <x v="0"/>
    <x v="0"/>
    <d v="2025-06-10T00:00:00"/>
    <x v="2"/>
    <n v="88.87"/>
    <x v="0"/>
  </r>
  <r>
    <x v="563"/>
    <s v="Alumno_id_702"/>
    <x v="0"/>
    <x v="0"/>
    <d v="2025-07-01T00:00:00"/>
    <x v="2"/>
    <n v="89.44"/>
    <x v="0"/>
  </r>
  <r>
    <x v="564"/>
    <s v="Alumno_id_706"/>
    <x v="1"/>
    <x v="1"/>
    <d v="2025-11-07T00:00:00"/>
    <x v="2"/>
    <n v="86.19"/>
    <x v="0"/>
  </r>
  <r>
    <x v="565"/>
    <s v="User_id_708"/>
    <x v="1"/>
    <x v="1"/>
    <d v="2025-11-11T00:00:00"/>
    <x v="2"/>
    <n v="77.959999999999994"/>
    <x v="0"/>
  </r>
  <r>
    <x v="566"/>
    <s v="User_id_711"/>
    <x v="1"/>
    <x v="1"/>
    <d v="2025-06-13T00:00:00"/>
    <x v="2"/>
    <n v="82.67"/>
    <x v="0"/>
  </r>
  <r>
    <x v="567"/>
    <s v="Estudiante_id_718"/>
    <x v="3"/>
    <x v="3"/>
    <d v="2025-03-30T00:00:00"/>
    <x v="2"/>
    <n v="99.77"/>
    <x v="0"/>
  </r>
  <r>
    <x v="568"/>
    <s v="Estudiante_id_719"/>
    <x v="1"/>
    <x v="1"/>
    <d v="2025-08-13T00:00:00"/>
    <x v="2"/>
    <n v="99.4"/>
    <x v="0"/>
  </r>
  <r>
    <x v="569"/>
    <s v="User_id_729"/>
    <x v="2"/>
    <x v="2"/>
    <d v="2025-02-15T00:00:00"/>
    <x v="2"/>
    <n v="73.709999999999994"/>
    <x v="0"/>
  </r>
  <r>
    <x v="570"/>
    <s v="Alumno_id_738"/>
    <x v="1"/>
    <x v="1"/>
    <d v="2025-05-26T00:00:00"/>
    <x v="2"/>
    <n v="91"/>
    <x v="0"/>
  </r>
  <r>
    <x v="571"/>
    <s v="Estudiante_id_744"/>
    <x v="0"/>
    <x v="0"/>
    <d v="2025-04-10T00:00:00"/>
    <x v="2"/>
    <n v="88.06"/>
    <x v="0"/>
  </r>
  <r>
    <x v="572"/>
    <s v="Estudiante_id_745"/>
    <x v="3"/>
    <x v="3"/>
    <d v="2025-12-27T00:00:00"/>
    <x v="2"/>
    <n v="96.7"/>
    <x v="0"/>
  </r>
  <r>
    <x v="573"/>
    <s v="Estudiante_id_769"/>
    <x v="3"/>
    <x v="3"/>
    <d v="2025-07-07T00:00:00"/>
    <x v="2"/>
    <n v="76.239999999999995"/>
    <x v="0"/>
  </r>
  <r>
    <x v="574"/>
    <s v="Estudiante_id_771"/>
    <x v="3"/>
    <x v="3"/>
    <d v="2025-07-20T00:00:00"/>
    <x v="2"/>
    <n v="70.040000000000006"/>
    <x v="0"/>
  </r>
  <r>
    <x v="575"/>
    <s v="Estudiante_id_772"/>
    <x v="0"/>
    <x v="0"/>
    <d v="2025-12-09T00:00:00"/>
    <x v="2"/>
    <n v="75.67"/>
    <x v="0"/>
  </r>
  <r>
    <x v="576"/>
    <s v="Estudiante_id_778"/>
    <x v="1"/>
    <x v="1"/>
    <d v="2025-03-16T00:00:00"/>
    <x v="2"/>
    <n v="73.709999999999994"/>
    <x v="0"/>
  </r>
  <r>
    <x v="577"/>
    <s v="Estudiante_id_794"/>
    <x v="1"/>
    <x v="1"/>
    <d v="2025-08-06T00:00:00"/>
    <x v="2"/>
    <n v="91.07"/>
    <x v="0"/>
  </r>
  <r>
    <x v="578"/>
    <s v="Alumno_id_796"/>
    <x v="2"/>
    <x v="2"/>
    <d v="2025-05-21T00:00:00"/>
    <x v="2"/>
    <n v="72.05"/>
    <x v="0"/>
  </r>
  <r>
    <x v="579"/>
    <s v="User_id_797"/>
    <x v="3"/>
    <x v="3"/>
    <d v="2025-07-19T00:00:00"/>
    <x v="2"/>
    <n v="77.41"/>
    <x v="0"/>
  </r>
  <r>
    <x v="580"/>
    <s v="User_id_799"/>
    <x v="0"/>
    <x v="0"/>
    <d v="2025-08-19T00:00:00"/>
    <x v="2"/>
    <n v="97.21"/>
    <x v="0"/>
  </r>
  <r>
    <x v="581"/>
    <s v="User_id_810"/>
    <x v="3"/>
    <x v="3"/>
    <d v="2025-03-13T00:00:00"/>
    <x v="2"/>
    <n v="94.15"/>
    <x v="0"/>
  </r>
  <r>
    <x v="582"/>
    <s v="Alumno_id_811"/>
    <x v="0"/>
    <x v="0"/>
    <d v="2025-04-21T00:00:00"/>
    <x v="2"/>
    <n v="76.17"/>
    <x v="0"/>
  </r>
  <r>
    <x v="583"/>
    <s v="User_id_813"/>
    <x v="0"/>
    <x v="0"/>
    <d v="2025-01-01T00:00:00"/>
    <x v="2"/>
    <n v="77.56"/>
    <x v="0"/>
  </r>
  <r>
    <x v="584"/>
    <s v="Candidato_id_818"/>
    <x v="3"/>
    <x v="3"/>
    <d v="2025-01-16T00:00:00"/>
    <x v="2"/>
    <n v="83.58"/>
    <x v="0"/>
  </r>
  <r>
    <x v="585"/>
    <s v="Alumno_id_820"/>
    <x v="3"/>
    <x v="3"/>
    <d v="2025-09-11T00:00:00"/>
    <x v="2"/>
    <n v="96.31"/>
    <x v="0"/>
  </r>
  <r>
    <x v="586"/>
    <s v="User_id_821"/>
    <x v="1"/>
    <x v="1"/>
    <d v="2025-06-06T00:00:00"/>
    <x v="2"/>
    <n v="77.989999999999995"/>
    <x v="0"/>
  </r>
  <r>
    <x v="587"/>
    <s v="Candidato_id_824"/>
    <x v="0"/>
    <x v="0"/>
    <d v="2025-04-05T00:00:00"/>
    <x v="2"/>
    <n v="71.97"/>
    <x v="0"/>
  </r>
  <r>
    <x v="588"/>
    <s v="Estudiante_id_825"/>
    <x v="0"/>
    <x v="0"/>
    <d v="2025-01-26T00:00:00"/>
    <x v="2"/>
    <n v="81.23"/>
    <x v="0"/>
  </r>
  <r>
    <x v="589"/>
    <s v="Estudiante_id_827"/>
    <x v="3"/>
    <x v="3"/>
    <d v="2025-07-31T00:00:00"/>
    <x v="2"/>
    <n v="80.2"/>
    <x v="0"/>
  </r>
  <r>
    <x v="590"/>
    <s v="Estudiante_id_828"/>
    <x v="3"/>
    <x v="3"/>
    <d v="2025-08-24T00:00:00"/>
    <x v="2"/>
    <n v="91.34"/>
    <x v="0"/>
  </r>
  <r>
    <x v="591"/>
    <s v="Estudiante_id_838"/>
    <x v="3"/>
    <x v="3"/>
    <d v="2025-05-12T00:00:00"/>
    <x v="2"/>
    <n v="82.91"/>
    <x v="0"/>
  </r>
  <r>
    <x v="592"/>
    <s v="User_id_841"/>
    <x v="0"/>
    <x v="0"/>
    <d v="2025-10-26T00:00:00"/>
    <x v="2"/>
    <n v="94.84"/>
    <x v="0"/>
  </r>
  <r>
    <x v="593"/>
    <s v="Estudiante_id_842"/>
    <x v="1"/>
    <x v="1"/>
    <d v="2025-10-09T00:00:00"/>
    <x v="2"/>
    <n v="91.05"/>
    <x v="0"/>
  </r>
  <r>
    <x v="594"/>
    <s v="User_id_846"/>
    <x v="2"/>
    <x v="2"/>
    <d v="2025-04-03T00:00:00"/>
    <x v="2"/>
    <n v="83.45"/>
    <x v="0"/>
  </r>
  <r>
    <x v="595"/>
    <s v="User_id_849"/>
    <x v="3"/>
    <x v="3"/>
    <d v="2025-06-21T00:00:00"/>
    <x v="2"/>
    <n v="96.04"/>
    <x v="0"/>
  </r>
  <r>
    <x v="596"/>
    <s v="Candidato_id_851"/>
    <x v="1"/>
    <x v="1"/>
    <d v="2025-02-01T00:00:00"/>
    <x v="2"/>
    <n v="77.959999999999994"/>
    <x v="0"/>
  </r>
  <r>
    <x v="597"/>
    <s v="Estudiante_id_852"/>
    <x v="1"/>
    <x v="1"/>
    <d v="2025-03-18T00:00:00"/>
    <x v="2"/>
    <n v="82.86"/>
    <x v="0"/>
  </r>
  <r>
    <x v="598"/>
    <s v="Candidato_id_859"/>
    <x v="0"/>
    <x v="0"/>
    <d v="2025-05-04T00:00:00"/>
    <x v="2"/>
    <n v="70.09"/>
    <x v="0"/>
  </r>
  <r>
    <x v="599"/>
    <s v="Alumno_id_864"/>
    <x v="3"/>
    <x v="3"/>
    <d v="2025-12-17T00:00:00"/>
    <x v="2"/>
    <n v="72.790000000000006"/>
    <x v="0"/>
  </r>
  <r>
    <x v="600"/>
    <s v="Alumno_id_865"/>
    <x v="2"/>
    <x v="2"/>
    <d v="2025-07-12T00:00:00"/>
    <x v="2"/>
    <n v="92.4"/>
    <x v="0"/>
  </r>
  <r>
    <x v="601"/>
    <s v="Estudiante_id_870"/>
    <x v="1"/>
    <x v="1"/>
    <d v="2025-11-29T00:00:00"/>
    <x v="2"/>
    <n v="83.2"/>
    <x v="0"/>
  </r>
  <r>
    <x v="602"/>
    <s v="User_id_877"/>
    <x v="2"/>
    <x v="2"/>
    <d v="2025-03-30T00:00:00"/>
    <x v="2"/>
    <n v="91.05"/>
    <x v="0"/>
  </r>
  <r>
    <x v="603"/>
    <s v="Candidato_id_879"/>
    <x v="0"/>
    <x v="0"/>
    <d v="2025-03-08T00:00:00"/>
    <x v="2"/>
    <n v="95.07"/>
    <x v="0"/>
  </r>
  <r>
    <x v="604"/>
    <s v="User_id_897"/>
    <x v="2"/>
    <x v="2"/>
    <d v="2025-07-25T00:00:00"/>
    <x v="2"/>
    <n v="92.18"/>
    <x v="0"/>
  </r>
  <r>
    <x v="605"/>
    <s v="Candidato_id_902"/>
    <x v="2"/>
    <x v="2"/>
    <d v="2025-09-13T00:00:00"/>
    <x v="2"/>
    <n v="71.06"/>
    <x v="0"/>
  </r>
  <r>
    <x v="606"/>
    <s v="Alumno_id_906"/>
    <x v="0"/>
    <x v="0"/>
    <d v="2025-12-18T00:00:00"/>
    <x v="2"/>
    <n v="79.22"/>
    <x v="0"/>
  </r>
  <r>
    <x v="607"/>
    <s v="Alumno_id_912"/>
    <x v="1"/>
    <x v="1"/>
    <d v="2025-01-21T00:00:00"/>
    <x v="2"/>
    <n v="79.75"/>
    <x v="0"/>
  </r>
  <r>
    <x v="608"/>
    <s v="User_id_917"/>
    <x v="3"/>
    <x v="3"/>
    <d v="2025-07-30T00:00:00"/>
    <x v="2"/>
    <n v="71.34"/>
    <x v="0"/>
  </r>
  <r>
    <x v="609"/>
    <s v="Candidato_id_918"/>
    <x v="2"/>
    <x v="2"/>
    <d v="2025-10-28T00:00:00"/>
    <x v="2"/>
    <n v="81.7"/>
    <x v="0"/>
  </r>
  <r>
    <x v="610"/>
    <s v="Estudiante_id_922"/>
    <x v="0"/>
    <x v="0"/>
    <d v="2025-06-06T00:00:00"/>
    <x v="2"/>
    <n v="99.41"/>
    <x v="0"/>
  </r>
  <r>
    <x v="611"/>
    <s v="User_id_934"/>
    <x v="2"/>
    <x v="2"/>
    <d v="2025-02-02T00:00:00"/>
    <x v="2"/>
    <n v="93.38"/>
    <x v="0"/>
  </r>
  <r>
    <x v="612"/>
    <s v="User_id_938"/>
    <x v="3"/>
    <x v="3"/>
    <d v="2025-12-22T00:00:00"/>
    <x v="2"/>
    <n v="76.37"/>
    <x v="0"/>
  </r>
  <r>
    <x v="613"/>
    <s v="Estudiante_id_942"/>
    <x v="0"/>
    <x v="0"/>
    <d v="2025-08-27T00:00:00"/>
    <x v="2"/>
    <n v="96.9"/>
    <x v="0"/>
  </r>
  <r>
    <x v="614"/>
    <s v="Candidato_id_945"/>
    <x v="3"/>
    <x v="3"/>
    <d v="2025-02-12T00:00:00"/>
    <x v="2"/>
    <n v="77.69"/>
    <x v="0"/>
  </r>
  <r>
    <x v="615"/>
    <s v="User_id_946"/>
    <x v="1"/>
    <x v="1"/>
    <d v="2025-07-11T00:00:00"/>
    <x v="2"/>
    <n v="91.64"/>
    <x v="0"/>
  </r>
  <r>
    <x v="616"/>
    <s v="Estudiante_id_968"/>
    <x v="1"/>
    <x v="1"/>
    <d v="2025-06-15T00:00:00"/>
    <x v="2"/>
    <n v="83.3"/>
    <x v="0"/>
  </r>
  <r>
    <x v="617"/>
    <s v="Candidato_id_971"/>
    <x v="1"/>
    <x v="1"/>
    <d v="2025-01-04T00:00:00"/>
    <x v="2"/>
    <n v="84.41"/>
    <x v="0"/>
  </r>
  <r>
    <x v="618"/>
    <s v="Estudiante_id_972"/>
    <x v="0"/>
    <x v="0"/>
    <d v="2025-12-27T00:00:00"/>
    <x v="2"/>
    <n v="85.55"/>
    <x v="0"/>
  </r>
  <r>
    <x v="619"/>
    <s v="Estudiante_id_984"/>
    <x v="2"/>
    <x v="2"/>
    <d v="2025-09-29T00:00:00"/>
    <x v="2"/>
    <n v="84.52"/>
    <x v="0"/>
  </r>
  <r>
    <x v="620"/>
    <s v="Candidato_id_993"/>
    <x v="0"/>
    <x v="0"/>
    <d v="2025-12-15T00:00:00"/>
    <x v="2"/>
    <n v="73.099999999999994"/>
    <x v="0"/>
  </r>
  <r>
    <x v="621"/>
    <s v="Alumno_id_997"/>
    <x v="2"/>
    <x v="2"/>
    <d v="2025-09-18T00:00:00"/>
    <x v="2"/>
    <n v="79.790000000000006"/>
    <x v="0"/>
  </r>
  <r>
    <x v="622"/>
    <s v="Estudiante_id_1"/>
    <x v="0"/>
    <x v="0"/>
    <d v="2025-06-06T00:00:00"/>
    <x v="3"/>
    <n v="92.42"/>
    <x v="0"/>
  </r>
  <r>
    <x v="623"/>
    <s v="Candidato_id_15"/>
    <x v="0"/>
    <x v="0"/>
    <d v="2025-09-25T00:00:00"/>
    <x v="3"/>
    <n v="77.23"/>
    <x v="0"/>
  </r>
  <r>
    <x v="624"/>
    <s v="Estudiante_id_20"/>
    <x v="3"/>
    <x v="3"/>
    <d v="2025-08-06T00:00:00"/>
    <x v="3"/>
    <n v="98.83"/>
    <x v="0"/>
  </r>
  <r>
    <x v="625"/>
    <s v="Estudiante_id_25"/>
    <x v="2"/>
    <x v="2"/>
    <d v="2025-04-04T00:00:00"/>
    <x v="3"/>
    <n v="89.89"/>
    <x v="0"/>
  </r>
  <r>
    <x v="626"/>
    <s v="User_id_33"/>
    <x v="1"/>
    <x v="1"/>
    <d v="2025-04-18T00:00:00"/>
    <x v="3"/>
    <n v="99.49"/>
    <x v="0"/>
  </r>
  <r>
    <x v="627"/>
    <s v="Candidato_id_34"/>
    <x v="1"/>
    <x v="1"/>
    <d v="2025-03-18T00:00:00"/>
    <x v="3"/>
    <n v="97"/>
    <x v="0"/>
  </r>
  <r>
    <x v="628"/>
    <s v="Alumno_id_35"/>
    <x v="0"/>
    <x v="0"/>
    <d v="2025-01-13T00:00:00"/>
    <x v="3"/>
    <n v="79.739999999999995"/>
    <x v="0"/>
  </r>
  <r>
    <x v="629"/>
    <s v="Estudiante_id_48"/>
    <x v="2"/>
    <x v="2"/>
    <d v="2025-11-09T00:00:00"/>
    <x v="3"/>
    <n v="74.75"/>
    <x v="0"/>
  </r>
  <r>
    <x v="630"/>
    <s v="User_id_59"/>
    <x v="1"/>
    <x v="1"/>
    <d v="2025-02-18T00:00:00"/>
    <x v="3"/>
    <n v="79.62"/>
    <x v="0"/>
  </r>
  <r>
    <x v="631"/>
    <s v="Estudiante_id_71"/>
    <x v="1"/>
    <x v="1"/>
    <d v="2025-04-19T00:00:00"/>
    <x v="3"/>
    <n v="94.95"/>
    <x v="0"/>
  </r>
  <r>
    <x v="632"/>
    <s v="Estudiante_id_79"/>
    <x v="3"/>
    <x v="3"/>
    <d v="2025-07-23T00:00:00"/>
    <x v="3"/>
    <n v="72.78"/>
    <x v="0"/>
  </r>
  <r>
    <x v="633"/>
    <s v="Alumno_id_83"/>
    <x v="0"/>
    <x v="0"/>
    <d v="2025-01-06T00:00:00"/>
    <x v="3"/>
    <n v="84.68"/>
    <x v="0"/>
  </r>
  <r>
    <x v="634"/>
    <s v="Estudiante_id_85"/>
    <x v="1"/>
    <x v="1"/>
    <d v="2025-04-14T00:00:00"/>
    <x v="3"/>
    <n v="86.83"/>
    <x v="0"/>
  </r>
  <r>
    <x v="635"/>
    <s v="User_id_117"/>
    <x v="2"/>
    <x v="2"/>
    <d v="2025-07-19T00:00:00"/>
    <x v="3"/>
    <n v="90.19"/>
    <x v="0"/>
  </r>
  <r>
    <x v="636"/>
    <s v="Estudiante_id_119"/>
    <x v="0"/>
    <x v="0"/>
    <d v="2025-02-21T00:00:00"/>
    <x v="3"/>
    <n v="76.62"/>
    <x v="0"/>
  </r>
  <r>
    <x v="637"/>
    <s v="Alumno_id_148"/>
    <x v="2"/>
    <x v="2"/>
    <d v="2025-01-29T00:00:00"/>
    <x v="3"/>
    <n v="90.01"/>
    <x v="0"/>
  </r>
  <r>
    <x v="638"/>
    <s v="User_id_149"/>
    <x v="2"/>
    <x v="2"/>
    <d v="2025-08-19T00:00:00"/>
    <x v="3"/>
    <n v="93.22"/>
    <x v="0"/>
  </r>
  <r>
    <x v="639"/>
    <s v="User_id_163"/>
    <x v="3"/>
    <x v="3"/>
    <d v="2025-01-29T00:00:00"/>
    <x v="3"/>
    <n v="79.36"/>
    <x v="0"/>
  </r>
  <r>
    <x v="640"/>
    <s v="Alumno_id_167"/>
    <x v="1"/>
    <x v="1"/>
    <d v="2025-02-06T00:00:00"/>
    <x v="3"/>
    <n v="91.12"/>
    <x v="0"/>
  </r>
  <r>
    <x v="641"/>
    <s v="Candidato_id_185"/>
    <x v="3"/>
    <x v="3"/>
    <d v="2025-04-06T00:00:00"/>
    <x v="3"/>
    <n v="89.23"/>
    <x v="0"/>
  </r>
  <r>
    <x v="642"/>
    <s v="Alumno_id_207"/>
    <x v="3"/>
    <x v="3"/>
    <d v="2025-04-22T00:00:00"/>
    <x v="3"/>
    <n v="99.64"/>
    <x v="0"/>
  </r>
  <r>
    <x v="643"/>
    <s v="Alumno_id_213"/>
    <x v="1"/>
    <x v="1"/>
    <d v="2025-04-27T00:00:00"/>
    <x v="3"/>
    <n v="89.47"/>
    <x v="0"/>
  </r>
  <r>
    <x v="644"/>
    <s v="Alumno_id_220"/>
    <x v="2"/>
    <x v="2"/>
    <d v="2025-09-09T00:00:00"/>
    <x v="3"/>
    <n v="75.790000000000006"/>
    <x v="0"/>
  </r>
  <r>
    <x v="645"/>
    <s v="Estudiante_id_222"/>
    <x v="2"/>
    <x v="2"/>
    <d v="2025-10-29T00:00:00"/>
    <x v="3"/>
    <n v="77.040000000000006"/>
    <x v="0"/>
  </r>
  <r>
    <x v="646"/>
    <s v="Candidato_id_223"/>
    <x v="0"/>
    <x v="0"/>
    <d v="2025-01-31T00:00:00"/>
    <x v="3"/>
    <n v="78.78"/>
    <x v="0"/>
  </r>
  <r>
    <x v="647"/>
    <s v="User_id_224"/>
    <x v="0"/>
    <x v="0"/>
    <d v="2025-06-20T00:00:00"/>
    <x v="3"/>
    <n v="76.010000000000005"/>
    <x v="0"/>
  </r>
  <r>
    <x v="648"/>
    <s v="Estudiante_id_229"/>
    <x v="0"/>
    <x v="0"/>
    <d v="2025-06-27T00:00:00"/>
    <x v="3"/>
    <n v="81.13"/>
    <x v="0"/>
  </r>
  <r>
    <x v="649"/>
    <s v="User_id_235"/>
    <x v="2"/>
    <x v="2"/>
    <d v="2025-09-26T00:00:00"/>
    <x v="3"/>
    <n v="86.84"/>
    <x v="0"/>
  </r>
  <r>
    <x v="650"/>
    <s v="User_id_245"/>
    <x v="1"/>
    <x v="1"/>
    <d v="2025-04-22T00:00:00"/>
    <x v="3"/>
    <n v="88.63"/>
    <x v="0"/>
  </r>
  <r>
    <x v="651"/>
    <s v="Estudiante_id_254"/>
    <x v="1"/>
    <x v="1"/>
    <d v="2025-04-15T00:00:00"/>
    <x v="3"/>
    <n v="71.55"/>
    <x v="0"/>
  </r>
  <r>
    <x v="652"/>
    <s v="User_id_257"/>
    <x v="3"/>
    <x v="3"/>
    <d v="2025-02-21T00:00:00"/>
    <x v="3"/>
    <n v="88.94"/>
    <x v="0"/>
  </r>
  <r>
    <x v="653"/>
    <s v="Estudiante_id_264"/>
    <x v="0"/>
    <x v="0"/>
    <d v="2025-05-17T00:00:00"/>
    <x v="3"/>
    <n v="93.4"/>
    <x v="0"/>
  </r>
  <r>
    <x v="654"/>
    <s v="Candidato_id_269"/>
    <x v="1"/>
    <x v="1"/>
    <d v="2025-06-01T00:00:00"/>
    <x v="3"/>
    <n v="78.89"/>
    <x v="0"/>
  </r>
  <r>
    <x v="655"/>
    <s v="User_id_313"/>
    <x v="2"/>
    <x v="2"/>
    <d v="2025-06-08T00:00:00"/>
    <x v="3"/>
    <n v="94.39"/>
    <x v="0"/>
  </r>
  <r>
    <x v="656"/>
    <s v="Estudiante_id_316"/>
    <x v="2"/>
    <x v="2"/>
    <d v="2025-12-02T00:00:00"/>
    <x v="3"/>
    <n v="77.11"/>
    <x v="0"/>
  </r>
  <r>
    <x v="657"/>
    <s v="Estudiante_id_319"/>
    <x v="2"/>
    <x v="2"/>
    <d v="2025-05-12T00:00:00"/>
    <x v="3"/>
    <n v="87.56"/>
    <x v="0"/>
  </r>
  <r>
    <x v="658"/>
    <s v="User_id_328"/>
    <x v="3"/>
    <x v="3"/>
    <d v="2025-07-08T00:00:00"/>
    <x v="3"/>
    <n v="75.09"/>
    <x v="0"/>
  </r>
  <r>
    <x v="659"/>
    <s v="Candidato_id_332"/>
    <x v="1"/>
    <x v="1"/>
    <d v="2025-03-22T00:00:00"/>
    <x v="3"/>
    <n v="97.52"/>
    <x v="0"/>
  </r>
  <r>
    <x v="660"/>
    <s v="User_id_345"/>
    <x v="3"/>
    <x v="3"/>
    <d v="2025-02-23T00:00:00"/>
    <x v="3"/>
    <n v="93.99"/>
    <x v="0"/>
  </r>
  <r>
    <x v="661"/>
    <s v="Estudiante_id_349"/>
    <x v="0"/>
    <x v="0"/>
    <d v="2025-02-15T00:00:00"/>
    <x v="3"/>
    <n v="93.55"/>
    <x v="0"/>
  </r>
  <r>
    <x v="662"/>
    <s v="User_id_361"/>
    <x v="0"/>
    <x v="0"/>
    <d v="2025-08-16T00:00:00"/>
    <x v="3"/>
    <n v="70.39"/>
    <x v="0"/>
  </r>
  <r>
    <x v="663"/>
    <s v="User_id_372"/>
    <x v="2"/>
    <x v="2"/>
    <d v="2025-09-02T00:00:00"/>
    <x v="3"/>
    <n v="78.3"/>
    <x v="0"/>
  </r>
  <r>
    <x v="664"/>
    <s v="Estudiante_id_376"/>
    <x v="0"/>
    <x v="0"/>
    <d v="2025-02-26T00:00:00"/>
    <x v="3"/>
    <n v="76.319999999999993"/>
    <x v="0"/>
  </r>
  <r>
    <x v="665"/>
    <s v="Candidato_id_380"/>
    <x v="3"/>
    <x v="3"/>
    <d v="2025-09-03T00:00:00"/>
    <x v="3"/>
    <n v="91.07"/>
    <x v="0"/>
  </r>
  <r>
    <x v="666"/>
    <s v="User_id_383"/>
    <x v="2"/>
    <x v="2"/>
    <d v="2025-11-25T00:00:00"/>
    <x v="3"/>
    <n v="72.84"/>
    <x v="0"/>
  </r>
  <r>
    <x v="667"/>
    <s v="Estudiante_id_384"/>
    <x v="0"/>
    <x v="0"/>
    <d v="2025-08-01T00:00:00"/>
    <x v="3"/>
    <n v="73.709999999999994"/>
    <x v="0"/>
  </r>
  <r>
    <x v="668"/>
    <s v="User_id_389"/>
    <x v="1"/>
    <x v="1"/>
    <d v="2025-10-02T00:00:00"/>
    <x v="3"/>
    <n v="93.69"/>
    <x v="0"/>
  </r>
  <r>
    <x v="669"/>
    <s v="Estudiante_id_390"/>
    <x v="3"/>
    <x v="3"/>
    <d v="2025-07-17T00:00:00"/>
    <x v="3"/>
    <n v="78.97"/>
    <x v="0"/>
  </r>
  <r>
    <x v="670"/>
    <s v="Estudiante_id_400"/>
    <x v="3"/>
    <x v="3"/>
    <d v="2025-09-12T00:00:00"/>
    <x v="3"/>
    <n v="99.51"/>
    <x v="0"/>
  </r>
  <r>
    <x v="671"/>
    <s v="Estudiante_id_437"/>
    <x v="0"/>
    <x v="0"/>
    <d v="2025-08-13T00:00:00"/>
    <x v="3"/>
    <n v="81.28"/>
    <x v="0"/>
  </r>
  <r>
    <x v="672"/>
    <s v="Estudiante_id_444"/>
    <x v="3"/>
    <x v="3"/>
    <d v="2025-05-24T00:00:00"/>
    <x v="3"/>
    <n v="84.12"/>
    <x v="0"/>
  </r>
  <r>
    <x v="673"/>
    <s v="User_id_455"/>
    <x v="3"/>
    <x v="3"/>
    <d v="2025-10-27T00:00:00"/>
    <x v="3"/>
    <n v="77.08"/>
    <x v="0"/>
  </r>
  <r>
    <x v="674"/>
    <s v="Alumno_id_460"/>
    <x v="3"/>
    <x v="3"/>
    <d v="2025-06-28T00:00:00"/>
    <x v="3"/>
    <n v="85.46"/>
    <x v="0"/>
  </r>
  <r>
    <x v="675"/>
    <s v="Alumno_id_462"/>
    <x v="0"/>
    <x v="0"/>
    <d v="2025-01-12T00:00:00"/>
    <x v="3"/>
    <n v="92.07"/>
    <x v="0"/>
  </r>
  <r>
    <x v="676"/>
    <s v="Alumno_id_507"/>
    <x v="0"/>
    <x v="0"/>
    <d v="2025-10-20T00:00:00"/>
    <x v="3"/>
    <n v="94.8"/>
    <x v="0"/>
  </r>
  <r>
    <x v="677"/>
    <s v="Candidato_id_521"/>
    <x v="1"/>
    <x v="1"/>
    <d v="2025-01-26T00:00:00"/>
    <x v="3"/>
    <n v="72.34"/>
    <x v="0"/>
  </r>
  <r>
    <x v="678"/>
    <s v="Estudiante_id_538"/>
    <x v="3"/>
    <x v="3"/>
    <d v="2025-05-28T00:00:00"/>
    <x v="3"/>
    <n v="87.35"/>
    <x v="0"/>
  </r>
  <r>
    <x v="679"/>
    <s v="User_id_539"/>
    <x v="1"/>
    <x v="1"/>
    <d v="2025-09-16T00:00:00"/>
    <x v="3"/>
    <n v="88.2"/>
    <x v="0"/>
  </r>
  <r>
    <x v="680"/>
    <s v="User_id_544"/>
    <x v="1"/>
    <x v="1"/>
    <d v="2025-05-24T00:00:00"/>
    <x v="3"/>
    <n v="72.510000000000005"/>
    <x v="0"/>
  </r>
  <r>
    <x v="681"/>
    <s v="Estudiante_id_545"/>
    <x v="1"/>
    <x v="1"/>
    <d v="2025-01-09T00:00:00"/>
    <x v="3"/>
    <n v="93.5"/>
    <x v="0"/>
  </r>
  <r>
    <x v="682"/>
    <s v="Alumno_id_549"/>
    <x v="3"/>
    <x v="3"/>
    <d v="2025-08-17T00:00:00"/>
    <x v="3"/>
    <n v="96.4"/>
    <x v="0"/>
  </r>
  <r>
    <x v="683"/>
    <s v="User_id_556"/>
    <x v="3"/>
    <x v="3"/>
    <d v="2025-03-30T00:00:00"/>
    <x v="3"/>
    <n v="80.459999999999994"/>
    <x v="0"/>
  </r>
  <r>
    <x v="684"/>
    <s v="Candidato_id_573"/>
    <x v="3"/>
    <x v="3"/>
    <d v="2025-07-14T00:00:00"/>
    <x v="3"/>
    <n v="80.05"/>
    <x v="0"/>
  </r>
  <r>
    <x v="685"/>
    <s v="Estudiante_id_576"/>
    <x v="3"/>
    <x v="3"/>
    <d v="2025-06-30T00:00:00"/>
    <x v="3"/>
    <n v="87.88"/>
    <x v="0"/>
  </r>
  <r>
    <x v="686"/>
    <s v="Alumno_id_580"/>
    <x v="1"/>
    <x v="1"/>
    <d v="2025-12-01T00:00:00"/>
    <x v="3"/>
    <n v="85.14"/>
    <x v="0"/>
  </r>
  <r>
    <x v="687"/>
    <s v="User_id_592"/>
    <x v="1"/>
    <x v="1"/>
    <d v="2025-06-18T00:00:00"/>
    <x v="3"/>
    <n v="91.7"/>
    <x v="0"/>
  </r>
  <r>
    <x v="688"/>
    <s v="User_id_594"/>
    <x v="2"/>
    <x v="2"/>
    <d v="2025-04-24T00:00:00"/>
    <x v="3"/>
    <n v="87.76"/>
    <x v="0"/>
  </r>
  <r>
    <x v="689"/>
    <s v="User_id_614"/>
    <x v="2"/>
    <x v="2"/>
    <d v="2025-06-26T00:00:00"/>
    <x v="3"/>
    <n v="79.88"/>
    <x v="0"/>
  </r>
  <r>
    <x v="690"/>
    <s v="Estudiante_id_626"/>
    <x v="1"/>
    <x v="1"/>
    <d v="2025-12-04T00:00:00"/>
    <x v="3"/>
    <n v="88.6"/>
    <x v="0"/>
  </r>
  <r>
    <x v="691"/>
    <s v="User_id_641"/>
    <x v="0"/>
    <x v="0"/>
    <d v="2025-06-05T00:00:00"/>
    <x v="3"/>
    <n v="78.47"/>
    <x v="0"/>
  </r>
  <r>
    <x v="692"/>
    <s v="Estudiante_id_645"/>
    <x v="3"/>
    <x v="3"/>
    <d v="2025-09-24T00:00:00"/>
    <x v="3"/>
    <n v="87.84"/>
    <x v="0"/>
  </r>
  <r>
    <x v="693"/>
    <s v="Alumno_id_651"/>
    <x v="2"/>
    <x v="2"/>
    <d v="2025-09-20T00:00:00"/>
    <x v="3"/>
    <n v="77.91"/>
    <x v="0"/>
  </r>
  <r>
    <x v="694"/>
    <s v="Estudiante_id_653"/>
    <x v="3"/>
    <x v="3"/>
    <d v="2025-08-11T00:00:00"/>
    <x v="3"/>
    <n v="89.44"/>
    <x v="0"/>
  </r>
  <r>
    <x v="695"/>
    <s v="Alumno_id_655"/>
    <x v="2"/>
    <x v="2"/>
    <d v="2025-05-03T00:00:00"/>
    <x v="3"/>
    <n v="96.38"/>
    <x v="0"/>
  </r>
  <r>
    <x v="696"/>
    <s v="User_id_669"/>
    <x v="1"/>
    <x v="1"/>
    <d v="2025-05-09T00:00:00"/>
    <x v="3"/>
    <n v="81.03"/>
    <x v="0"/>
  </r>
  <r>
    <x v="697"/>
    <s v="Alumno_id_689"/>
    <x v="0"/>
    <x v="0"/>
    <d v="2025-07-04T00:00:00"/>
    <x v="3"/>
    <n v="72.62"/>
    <x v="0"/>
  </r>
  <r>
    <x v="698"/>
    <s v="User_id_698"/>
    <x v="0"/>
    <x v="0"/>
    <d v="2025-01-22T00:00:00"/>
    <x v="3"/>
    <n v="90.92"/>
    <x v="0"/>
  </r>
  <r>
    <x v="699"/>
    <s v="User_id_712"/>
    <x v="2"/>
    <x v="2"/>
    <d v="2025-02-11T00:00:00"/>
    <x v="3"/>
    <n v="74.790000000000006"/>
    <x v="0"/>
  </r>
  <r>
    <x v="700"/>
    <s v="User_id_740"/>
    <x v="2"/>
    <x v="2"/>
    <d v="2025-12-28T00:00:00"/>
    <x v="3"/>
    <n v="93.44"/>
    <x v="0"/>
  </r>
  <r>
    <x v="701"/>
    <s v="User_id_747"/>
    <x v="3"/>
    <x v="3"/>
    <d v="2025-11-01T00:00:00"/>
    <x v="3"/>
    <n v="76.78"/>
    <x v="0"/>
  </r>
  <r>
    <x v="702"/>
    <s v="User_id_752"/>
    <x v="1"/>
    <x v="1"/>
    <d v="2025-12-01T00:00:00"/>
    <x v="3"/>
    <n v="99.82"/>
    <x v="0"/>
  </r>
  <r>
    <x v="703"/>
    <s v="Candidato_id_760"/>
    <x v="1"/>
    <x v="1"/>
    <d v="2025-04-21T00:00:00"/>
    <x v="3"/>
    <n v="95.21"/>
    <x v="0"/>
  </r>
  <r>
    <x v="704"/>
    <s v="Estudiante_id_763"/>
    <x v="2"/>
    <x v="2"/>
    <d v="2025-01-23T00:00:00"/>
    <x v="3"/>
    <n v="76.069999999999993"/>
    <x v="0"/>
  </r>
  <r>
    <x v="705"/>
    <s v="Candidato_id_767"/>
    <x v="3"/>
    <x v="3"/>
    <d v="2025-05-02T00:00:00"/>
    <x v="3"/>
    <n v="76.680000000000007"/>
    <x v="0"/>
  </r>
  <r>
    <x v="706"/>
    <s v="Estudiante_id_781"/>
    <x v="3"/>
    <x v="3"/>
    <d v="2025-01-20T00:00:00"/>
    <x v="3"/>
    <n v="87.58"/>
    <x v="0"/>
  </r>
  <r>
    <x v="707"/>
    <s v="Estudiante_id_795"/>
    <x v="3"/>
    <x v="3"/>
    <d v="2025-07-29T00:00:00"/>
    <x v="3"/>
    <n v="77.14"/>
    <x v="0"/>
  </r>
  <r>
    <x v="708"/>
    <s v="Estudiante_id_817"/>
    <x v="0"/>
    <x v="0"/>
    <d v="2025-09-03T00:00:00"/>
    <x v="3"/>
    <n v="80.41"/>
    <x v="0"/>
  </r>
  <r>
    <x v="709"/>
    <s v="Estudiante_id_822"/>
    <x v="1"/>
    <x v="1"/>
    <d v="2025-11-20T00:00:00"/>
    <x v="3"/>
    <n v="86.33"/>
    <x v="0"/>
  </r>
  <r>
    <x v="710"/>
    <s v="Alumno_id_832"/>
    <x v="2"/>
    <x v="2"/>
    <d v="2025-01-01T00:00:00"/>
    <x v="3"/>
    <n v="74.05"/>
    <x v="0"/>
  </r>
  <r>
    <x v="711"/>
    <s v="Candidato_id_837"/>
    <x v="0"/>
    <x v="0"/>
    <d v="2025-11-26T00:00:00"/>
    <x v="3"/>
    <n v="95.78"/>
    <x v="0"/>
  </r>
  <r>
    <x v="712"/>
    <s v="Estudiante_id_839"/>
    <x v="2"/>
    <x v="2"/>
    <d v="2025-10-25T00:00:00"/>
    <x v="3"/>
    <n v="88.19"/>
    <x v="0"/>
  </r>
  <r>
    <x v="713"/>
    <s v="Candidato_id_847"/>
    <x v="0"/>
    <x v="0"/>
    <d v="2025-12-31T00:00:00"/>
    <x v="3"/>
    <n v="90.59"/>
    <x v="0"/>
  </r>
  <r>
    <x v="714"/>
    <s v="Estudiante_id_856"/>
    <x v="1"/>
    <x v="1"/>
    <d v="2025-10-11T00:00:00"/>
    <x v="3"/>
    <n v="72.36"/>
    <x v="0"/>
  </r>
  <r>
    <x v="715"/>
    <s v="Estudiante_id_866"/>
    <x v="1"/>
    <x v="1"/>
    <d v="2025-09-28T00:00:00"/>
    <x v="3"/>
    <n v="72.709999999999994"/>
    <x v="0"/>
  </r>
  <r>
    <x v="716"/>
    <s v="User_id_875"/>
    <x v="1"/>
    <x v="1"/>
    <d v="2025-01-12T00:00:00"/>
    <x v="3"/>
    <n v="84.45"/>
    <x v="0"/>
  </r>
  <r>
    <x v="717"/>
    <s v="Estudiante_id_885"/>
    <x v="3"/>
    <x v="3"/>
    <d v="2025-11-12T00:00:00"/>
    <x v="3"/>
    <n v="79.06"/>
    <x v="0"/>
  </r>
  <r>
    <x v="718"/>
    <s v="User_id_901"/>
    <x v="0"/>
    <x v="0"/>
    <d v="2025-07-04T00:00:00"/>
    <x v="3"/>
    <n v="91.18"/>
    <x v="0"/>
  </r>
  <r>
    <x v="719"/>
    <s v="Candidato_id_904"/>
    <x v="0"/>
    <x v="0"/>
    <d v="2025-12-19T00:00:00"/>
    <x v="3"/>
    <n v="88.29"/>
    <x v="0"/>
  </r>
  <r>
    <x v="720"/>
    <s v="Alumno_id_926"/>
    <x v="0"/>
    <x v="0"/>
    <d v="2025-06-29T00:00:00"/>
    <x v="3"/>
    <n v="76.739999999999995"/>
    <x v="0"/>
  </r>
  <r>
    <x v="721"/>
    <s v="User_id_949"/>
    <x v="2"/>
    <x v="2"/>
    <d v="2025-09-04T00:00:00"/>
    <x v="3"/>
    <n v="76.06"/>
    <x v="0"/>
  </r>
  <r>
    <x v="722"/>
    <s v="Alumno_id_950"/>
    <x v="3"/>
    <x v="3"/>
    <d v="2025-06-25T00:00:00"/>
    <x v="3"/>
    <n v="75.010000000000005"/>
    <x v="0"/>
  </r>
  <r>
    <x v="723"/>
    <s v="Alumno_id_954"/>
    <x v="0"/>
    <x v="0"/>
    <d v="2025-08-10T00:00:00"/>
    <x v="3"/>
    <n v="99.89"/>
    <x v="0"/>
  </r>
  <r>
    <x v="724"/>
    <s v="Alumno_id_966"/>
    <x v="0"/>
    <x v="0"/>
    <d v="2025-10-26T00:00:00"/>
    <x v="3"/>
    <n v="93.67"/>
    <x v="0"/>
  </r>
  <r>
    <x v="725"/>
    <s v="Candidato_id_990"/>
    <x v="0"/>
    <x v="0"/>
    <d v="2025-09-17T00:00:00"/>
    <x v="3"/>
    <n v="94.52"/>
    <x v="0"/>
  </r>
  <r>
    <x v="726"/>
    <s v="Estudiante_id_996"/>
    <x v="3"/>
    <x v="3"/>
    <d v="2025-05-01T00:00:00"/>
    <x v="3"/>
    <n v="72.400000000000006"/>
    <x v="0"/>
  </r>
  <r>
    <x v="727"/>
    <s v="Candidato_id_999"/>
    <x v="1"/>
    <x v="1"/>
    <d v="2025-11-22T00:00:00"/>
    <x v="3"/>
    <n v="92.72"/>
    <x v="0"/>
  </r>
  <r>
    <x v="728"/>
    <s v="Estudiante_id_13"/>
    <x v="2"/>
    <x v="2"/>
    <d v="2026-01-18T00:00:00"/>
    <x v="2"/>
    <n v="88.17"/>
    <x v="1"/>
  </r>
  <r>
    <x v="729"/>
    <s v="Alumno_id_29"/>
    <x v="2"/>
    <x v="2"/>
    <d v="2026-01-05T00:00:00"/>
    <x v="2"/>
    <n v="77.52"/>
    <x v="1"/>
  </r>
  <r>
    <x v="730"/>
    <s v="Estudiante_id_40"/>
    <x v="2"/>
    <x v="2"/>
    <d v="2026-02-22T00:00:00"/>
    <x v="3"/>
    <n v="81.99"/>
    <x v="1"/>
  </r>
  <r>
    <x v="731"/>
    <s v="Alumno_id_49"/>
    <x v="2"/>
    <x v="2"/>
    <d v="2026-04-11T00:00:00"/>
    <x v="3"/>
    <n v="99.31"/>
    <x v="1"/>
  </r>
  <r>
    <x v="732"/>
    <s v="Estudiante_id_53"/>
    <x v="3"/>
    <x v="3"/>
    <d v="2026-02-08T00:00:00"/>
    <x v="3"/>
    <n v="85.49"/>
    <x v="1"/>
  </r>
  <r>
    <x v="733"/>
    <s v="Estudiante_id_65"/>
    <x v="1"/>
    <x v="1"/>
    <d v="2026-01-05T00:00:00"/>
    <x v="3"/>
    <n v="71.989999999999995"/>
    <x v="1"/>
  </r>
  <r>
    <x v="734"/>
    <s v="User_id_67"/>
    <x v="2"/>
    <x v="2"/>
    <d v="2026-01-16T00:00:00"/>
    <x v="3"/>
    <n v="92.45"/>
    <x v="1"/>
  </r>
  <r>
    <x v="735"/>
    <s v="Estudiante_id_69"/>
    <x v="2"/>
    <x v="2"/>
    <d v="2026-04-19T00:00:00"/>
    <x v="3"/>
    <n v="76.05"/>
    <x v="1"/>
  </r>
  <r>
    <x v="736"/>
    <s v="Candidato_id_73"/>
    <x v="0"/>
    <x v="0"/>
    <d v="2026-03-25T00:00:00"/>
    <x v="2"/>
    <n v="92.11"/>
    <x v="1"/>
  </r>
  <r>
    <x v="737"/>
    <s v="Estudiante_id_100"/>
    <x v="2"/>
    <x v="2"/>
    <d v="2026-03-06T00:00:00"/>
    <x v="3"/>
    <n v="88.82"/>
    <x v="1"/>
  </r>
  <r>
    <x v="738"/>
    <s v="Alumno_id_105"/>
    <x v="1"/>
    <x v="1"/>
    <d v="2026-03-25T00:00:00"/>
    <x v="3"/>
    <n v="73.44"/>
    <x v="1"/>
  </r>
  <r>
    <x v="739"/>
    <s v="Estudiante_id_109"/>
    <x v="0"/>
    <x v="0"/>
    <d v="2026-04-10T00:00:00"/>
    <x v="2"/>
    <n v="73.63"/>
    <x v="1"/>
  </r>
  <r>
    <x v="740"/>
    <s v="Alumno_id_110"/>
    <x v="1"/>
    <x v="1"/>
    <d v="2026-04-22T00:00:00"/>
    <x v="3"/>
    <n v="96.93"/>
    <x v="1"/>
  </r>
  <r>
    <x v="741"/>
    <s v="Alumno_id_112"/>
    <x v="3"/>
    <x v="3"/>
    <d v="2026-01-07T00:00:00"/>
    <x v="2"/>
    <n v="89.22"/>
    <x v="1"/>
  </r>
  <r>
    <x v="742"/>
    <s v="Estudiante_id_121"/>
    <x v="1"/>
    <x v="1"/>
    <d v="2026-01-24T00:00:00"/>
    <x v="2"/>
    <n v="99.44"/>
    <x v="1"/>
  </r>
  <r>
    <x v="743"/>
    <s v="Alumno_id_135"/>
    <x v="0"/>
    <x v="0"/>
    <d v="2026-01-23T00:00:00"/>
    <x v="2"/>
    <n v="91.23"/>
    <x v="1"/>
  </r>
  <r>
    <x v="744"/>
    <s v="User_id_151"/>
    <x v="3"/>
    <x v="3"/>
    <d v="2026-01-13T00:00:00"/>
    <x v="2"/>
    <n v="79.459999999999994"/>
    <x v="1"/>
  </r>
  <r>
    <x v="745"/>
    <s v="Estudiante_id_170"/>
    <x v="0"/>
    <x v="0"/>
    <d v="2026-03-06T00:00:00"/>
    <x v="2"/>
    <n v="90.38"/>
    <x v="1"/>
  </r>
  <r>
    <x v="746"/>
    <s v="Candidato_id_181"/>
    <x v="0"/>
    <x v="0"/>
    <d v="2026-02-01T00:00:00"/>
    <x v="2"/>
    <n v="81.37"/>
    <x v="1"/>
  </r>
  <r>
    <x v="747"/>
    <s v="Alumno_id_191"/>
    <x v="1"/>
    <x v="1"/>
    <d v="2026-01-26T00:00:00"/>
    <x v="2"/>
    <n v="83.59"/>
    <x v="1"/>
  </r>
  <r>
    <x v="748"/>
    <s v="User_id_195"/>
    <x v="3"/>
    <x v="3"/>
    <d v="2026-01-06T00:00:00"/>
    <x v="2"/>
    <n v="83.53"/>
    <x v="1"/>
  </r>
  <r>
    <x v="749"/>
    <s v="Estudiante_id_199"/>
    <x v="2"/>
    <x v="2"/>
    <d v="2026-04-19T00:00:00"/>
    <x v="2"/>
    <n v="71"/>
    <x v="1"/>
  </r>
  <r>
    <x v="750"/>
    <s v="Candidato_id_202"/>
    <x v="0"/>
    <x v="0"/>
    <d v="2026-01-18T00:00:00"/>
    <x v="3"/>
    <n v="97.2"/>
    <x v="1"/>
  </r>
  <r>
    <x v="751"/>
    <s v="Alumno_id_204"/>
    <x v="3"/>
    <x v="3"/>
    <d v="2026-02-14T00:00:00"/>
    <x v="2"/>
    <n v="89.25"/>
    <x v="1"/>
  </r>
  <r>
    <x v="752"/>
    <s v="Candidato_id_221"/>
    <x v="1"/>
    <x v="1"/>
    <d v="2026-04-19T00:00:00"/>
    <x v="3"/>
    <n v="89.83"/>
    <x v="1"/>
  </r>
  <r>
    <x v="753"/>
    <s v="User_id_232"/>
    <x v="2"/>
    <x v="2"/>
    <d v="2026-03-29T00:00:00"/>
    <x v="2"/>
    <n v="81.290000000000006"/>
    <x v="1"/>
  </r>
  <r>
    <x v="754"/>
    <s v="Alumno_id_271"/>
    <x v="0"/>
    <x v="0"/>
    <d v="2026-04-20T00:00:00"/>
    <x v="2"/>
    <n v="73.22"/>
    <x v="1"/>
  </r>
  <r>
    <x v="755"/>
    <s v="Candidato_id_273"/>
    <x v="3"/>
    <x v="3"/>
    <d v="2026-01-08T00:00:00"/>
    <x v="2"/>
    <n v="95.09"/>
    <x v="1"/>
  </r>
  <r>
    <x v="756"/>
    <s v="Estudiante_id_293"/>
    <x v="3"/>
    <x v="3"/>
    <d v="2026-01-13T00:00:00"/>
    <x v="2"/>
    <n v="74.180000000000007"/>
    <x v="1"/>
  </r>
  <r>
    <x v="757"/>
    <s v="Candidato_id_331"/>
    <x v="0"/>
    <x v="0"/>
    <d v="2026-02-19T00:00:00"/>
    <x v="3"/>
    <n v="84.28"/>
    <x v="1"/>
  </r>
  <r>
    <x v="758"/>
    <s v="User_id_343"/>
    <x v="0"/>
    <x v="0"/>
    <d v="2026-01-03T00:00:00"/>
    <x v="2"/>
    <n v="96.44"/>
    <x v="1"/>
  </r>
  <r>
    <x v="759"/>
    <s v="Estudiante_id_366"/>
    <x v="0"/>
    <x v="0"/>
    <d v="2026-01-16T00:00:00"/>
    <x v="2"/>
    <n v="97.61"/>
    <x v="1"/>
  </r>
  <r>
    <x v="760"/>
    <s v="User_id_386"/>
    <x v="2"/>
    <x v="2"/>
    <d v="2026-04-17T00:00:00"/>
    <x v="2"/>
    <n v="84.43"/>
    <x v="1"/>
  </r>
  <r>
    <x v="761"/>
    <s v="User_id_393"/>
    <x v="0"/>
    <x v="0"/>
    <d v="2026-04-07T00:00:00"/>
    <x v="3"/>
    <n v="93.99"/>
    <x v="1"/>
  </r>
  <r>
    <x v="762"/>
    <s v="Alumno_id_434"/>
    <x v="2"/>
    <x v="2"/>
    <d v="2026-04-05T00:00:00"/>
    <x v="3"/>
    <n v="83.09"/>
    <x v="1"/>
  </r>
  <r>
    <x v="763"/>
    <s v="Candidato_id_435"/>
    <x v="3"/>
    <x v="3"/>
    <d v="2026-01-14T00:00:00"/>
    <x v="3"/>
    <n v="93.26"/>
    <x v="1"/>
  </r>
  <r>
    <x v="764"/>
    <s v="Alumno_id_465"/>
    <x v="3"/>
    <x v="3"/>
    <d v="2026-03-30T00:00:00"/>
    <x v="2"/>
    <n v="98.89"/>
    <x v="1"/>
  </r>
  <r>
    <x v="765"/>
    <s v="User_id_473"/>
    <x v="3"/>
    <x v="3"/>
    <d v="2026-04-07T00:00:00"/>
    <x v="2"/>
    <n v="84.31"/>
    <x v="1"/>
  </r>
  <r>
    <x v="766"/>
    <s v="Estudiante_id_474"/>
    <x v="3"/>
    <x v="3"/>
    <d v="2026-02-02T00:00:00"/>
    <x v="3"/>
    <n v="77.22"/>
    <x v="1"/>
  </r>
  <r>
    <x v="767"/>
    <s v="Candidato_id_477"/>
    <x v="3"/>
    <x v="3"/>
    <d v="2026-03-05T00:00:00"/>
    <x v="2"/>
    <n v="86.95"/>
    <x v="1"/>
  </r>
  <r>
    <x v="768"/>
    <s v="Candidato_id_483"/>
    <x v="0"/>
    <x v="0"/>
    <d v="2026-03-22T00:00:00"/>
    <x v="2"/>
    <n v="82.33"/>
    <x v="1"/>
  </r>
  <r>
    <x v="769"/>
    <s v="Alumno_id_498"/>
    <x v="3"/>
    <x v="3"/>
    <d v="2026-01-24T00:00:00"/>
    <x v="2"/>
    <n v="89.56"/>
    <x v="1"/>
  </r>
  <r>
    <x v="770"/>
    <s v="Estudiante_id_508"/>
    <x v="3"/>
    <x v="3"/>
    <d v="2026-02-22T00:00:00"/>
    <x v="2"/>
    <n v="70.739999999999995"/>
    <x v="1"/>
  </r>
  <r>
    <x v="771"/>
    <s v="User_id_511"/>
    <x v="0"/>
    <x v="0"/>
    <d v="2026-02-08T00:00:00"/>
    <x v="2"/>
    <n v="93.8"/>
    <x v="1"/>
  </r>
  <r>
    <x v="772"/>
    <s v="Estudiante_id_526"/>
    <x v="2"/>
    <x v="2"/>
    <d v="2026-04-06T00:00:00"/>
    <x v="3"/>
    <n v="74.08"/>
    <x v="1"/>
  </r>
  <r>
    <x v="773"/>
    <s v="Estudiante_id_541"/>
    <x v="1"/>
    <x v="1"/>
    <d v="2026-04-26T00:00:00"/>
    <x v="3"/>
    <n v="70.36"/>
    <x v="1"/>
  </r>
  <r>
    <x v="774"/>
    <s v="Alumno_id_542"/>
    <x v="1"/>
    <x v="1"/>
    <d v="2026-02-11T00:00:00"/>
    <x v="3"/>
    <n v="87.61"/>
    <x v="1"/>
  </r>
  <r>
    <x v="775"/>
    <s v="Candidato_id_572"/>
    <x v="0"/>
    <x v="0"/>
    <d v="2026-02-22T00:00:00"/>
    <x v="2"/>
    <n v="99.28"/>
    <x v="1"/>
  </r>
  <r>
    <x v="776"/>
    <s v="Alumno_id_590"/>
    <x v="1"/>
    <x v="1"/>
    <d v="2026-01-31T00:00:00"/>
    <x v="2"/>
    <n v="78.13"/>
    <x v="1"/>
  </r>
  <r>
    <x v="777"/>
    <s v="Estudiante_id_593"/>
    <x v="1"/>
    <x v="1"/>
    <d v="2026-02-07T00:00:00"/>
    <x v="2"/>
    <n v="90.81"/>
    <x v="1"/>
  </r>
  <r>
    <x v="778"/>
    <s v="Estudiante_id_595"/>
    <x v="2"/>
    <x v="2"/>
    <d v="2026-03-23T00:00:00"/>
    <x v="2"/>
    <n v="91.15"/>
    <x v="1"/>
  </r>
  <r>
    <x v="779"/>
    <s v="User_id_609"/>
    <x v="0"/>
    <x v="0"/>
    <d v="2026-01-03T00:00:00"/>
    <x v="3"/>
    <n v="78.84"/>
    <x v="1"/>
  </r>
  <r>
    <x v="780"/>
    <s v="User_id_611"/>
    <x v="2"/>
    <x v="2"/>
    <d v="2026-04-11T00:00:00"/>
    <x v="2"/>
    <n v="99.97"/>
    <x v="1"/>
  </r>
  <r>
    <x v="781"/>
    <s v="Alumno_id_613"/>
    <x v="0"/>
    <x v="0"/>
    <d v="2026-03-16T00:00:00"/>
    <x v="3"/>
    <n v="89.88"/>
    <x v="1"/>
  </r>
  <r>
    <x v="782"/>
    <s v="Candidato_id_623"/>
    <x v="2"/>
    <x v="2"/>
    <d v="2026-04-02T00:00:00"/>
    <x v="3"/>
    <n v="85.37"/>
    <x v="1"/>
  </r>
  <r>
    <x v="783"/>
    <s v="Alumno_id_625"/>
    <x v="2"/>
    <x v="2"/>
    <d v="2026-03-23T00:00:00"/>
    <x v="3"/>
    <n v="85.56"/>
    <x v="1"/>
  </r>
  <r>
    <x v="784"/>
    <s v="Alumno_id_637"/>
    <x v="1"/>
    <x v="1"/>
    <d v="2026-02-11T00:00:00"/>
    <x v="2"/>
    <n v="94.76"/>
    <x v="1"/>
  </r>
  <r>
    <x v="785"/>
    <s v="Candidato_id_661"/>
    <x v="1"/>
    <x v="1"/>
    <d v="2026-05-01T00:00:00"/>
    <x v="2"/>
    <n v="93.93"/>
    <x v="1"/>
  </r>
  <r>
    <x v="786"/>
    <s v="Estudiante_id_666"/>
    <x v="2"/>
    <x v="2"/>
    <d v="2026-02-27T00:00:00"/>
    <x v="2"/>
    <n v="99.38"/>
    <x v="1"/>
  </r>
  <r>
    <x v="787"/>
    <s v="User_id_675"/>
    <x v="0"/>
    <x v="0"/>
    <d v="2026-01-15T00:00:00"/>
    <x v="3"/>
    <n v="84.67"/>
    <x v="1"/>
  </r>
  <r>
    <x v="788"/>
    <s v="Alumno_id_678"/>
    <x v="2"/>
    <x v="2"/>
    <d v="2026-02-10T00:00:00"/>
    <x v="3"/>
    <n v="83.42"/>
    <x v="1"/>
  </r>
  <r>
    <x v="789"/>
    <s v="User_id_681"/>
    <x v="0"/>
    <x v="0"/>
    <d v="2026-01-18T00:00:00"/>
    <x v="3"/>
    <n v="83.93"/>
    <x v="1"/>
  </r>
  <r>
    <x v="790"/>
    <s v="User_id_682"/>
    <x v="3"/>
    <x v="3"/>
    <d v="2026-01-31T00:00:00"/>
    <x v="2"/>
    <n v="93.7"/>
    <x v="1"/>
  </r>
  <r>
    <x v="791"/>
    <s v="Candidato_id_685"/>
    <x v="2"/>
    <x v="2"/>
    <d v="2026-03-27T00:00:00"/>
    <x v="3"/>
    <n v="71.89"/>
    <x v="1"/>
  </r>
  <r>
    <x v="792"/>
    <s v="Alumno_id_700"/>
    <x v="0"/>
    <x v="0"/>
    <d v="2026-03-20T00:00:00"/>
    <x v="3"/>
    <n v="75.41"/>
    <x v="1"/>
  </r>
  <r>
    <x v="793"/>
    <s v="Estudiante_id_723"/>
    <x v="3"/>
    <x v="3"/>
    <d v="2026-04-24T00:00:00"/>
    <x v="2"/>
    <n v="82.85"/>
    <x v="1"/>
  </r>
  <r>
    <x v="794"/>
    <s v="Estudiante_id_727"/>
    <x v="0"/>
    <x v="0"/>
    <d v="2026-02-04T00:00:00"/>
    <x v="2"/>
    <n v="93.24"/>
    <x v="1"/>
  </r>
  <r>
    <x v="795"/>
    <s v="User_id_732"/>
    <x v="2"/>
    <x v="2"/>
    <d v="2026-01-19T00:00:00"/>
    <x v="2"/>
    <n v="88.17"/>
    <x v="1"/>
  </r>
  <r>
    <x v="796"/>
    <s v="User_id_734"/>
    <x v="2"/>
    <x v="2"/>
    <d v="2026-03-01T00:00:00"/>
    <x v="3"/>
    <n v="81.8"/>
    <x v="1"/>
  </r>
  <r>
    <x v="797"/>
    <s v="Alumno_id_735"/>
    <x v="3"/>
    <x v="3"/>
    <d v="2026-02-12T00:00:00"/>
    <x v="3"/>
    <n v="89.79"/>
    <x v="1"/>
  </r>
  <r>
    <x v="798"/>
    <s v="Alumno_id_779"/>
    <x v="2"/>
    <x v="2"/>
    <d v="2026-03-02T00:00:00"/>
    <x v="2"/>
    <n v="80.91"/>
    <x v="1"/>
  </r>
  <r>
    <x v="799"/>
    <s v="Estudiante_id_788"/>
    <x v="2"/>
    <x v="2"/>
    <d v="2026-03-22T00:00:00"/>
    <x v="2"/>
    <n v="85.96"/>
    <x v="1"/>
  </r>
  <r>
    <x v="800"/>
    <s v="Estudiante_id_791"/>
    <x v="0"/>
    <x v="0"/>
    <d v="2026-05-02T00:00:00"/>
    <x v="2"/>
    <n v="80.930000000000007"/>
    <x v="1"/>
  </r>
  <r>
    <x v="801"/>
    <s v="Estudiante_id_806"/>
    <x v="2"/>
    <x v="2"/>
    <d v="2026-02-08T00:00:00"/>
    <x v="2"/>
    <n v="97.12"/>
    <x v="1"/>
  </r>
  <r>
    <x v="802"/>
    <s v="Estudiante_id_815"/>
    <x v="0"/>
    <x v="0"/>
    <d v="2026-02-02T00:00:00"/>
    <x v="2"/>
    <n v="98.58"/>
    <x v="1"/>
  </r>
  <r>
    <x v="803"/>
    <s v="Candidato_id_853"/>
    <x v="3"/>
    <x v="3"/>
    <d v="2026-01-03T00:00:00"/>
    <x v="2"/>
    <n v="76.86"/>
    <x v="1"/>
  </r>
  <r>
    <x v="804"/>
    <s v="User_id_881"/>
    <x v="0"/>
    <x v="0"/>
    <d v="2026-04-08T00:00:00"/>
    <x v="3"/>
    <n v="70.489999999999995"/>
    <x v="1"/>
  </r>
  <r>
    <x v="805"/>
    <s v="Candidato_id_882"/>
    <x v="1"/>
    <x v="1"/>
    <d v="2026-04-02T00:00:00"/>
    <x v="2"/>
    <n v="92.34"/>
    <x v="1"/>
  </r>
  <r>
    <x v="806"/>
    <s v="Alumno_id_887"/>
    <x v="1"/>
    <x v="1"/>
    <d v="2026-03-13T00:00:00"/>
    <x v="2"/>
    <n v="70.2"/>
    <x v="1"/>
  </r>
  <r>
    <x v="807"/>
    <s v="Estudiante_id_888"/>
    <x v="3"/>
    <x v="3"/>
    <d v="2026-04-09T00:00:00"/>
    <x v="2"/>
    <n v="97.83"/>
    <x v="1"/>
  </r>
  <r>
    <x v="808"/>
    <s v="Estudiante_id_896"/>
    <x v="2"/>
    <x v="2"/>
    <d v="2026-03-06T00:00:00"/>
    <x v="2"/>
    <n v="78.41"/>
    <x v="1"/>
  </r>
  <r>
    <x v="809"/>
    <s v="User_id_916"/>
    <x v="0"/>
    <x v="0"/>
    <d v="2026-01-04T00:00:00"/>
    <x v="3"/>
    <n v="94.59"/>
    <x v="1"/>
  </r>
  <r>
    <x v="810"/>
    <s v="Alumno_id_924"/>
    <x v="2"/>
    <x v="2"/>
    <d v="2026-03-15T00:00:00"/>
    <x v="2"/>
    <n v="73.75"/>
    <x v="1"/>
  </r>
  <r>
    <x v="811"/>
    <s v="User_id_927"/>
    <x v="2"/>
    <x v="2"/>
    <d v="2026-02-13T00:00:00"/>
    <x v="3"/>
    <n v="80.61"/>
    <x v="1"/>
  </r>
  <r>
    <x v="812"/>
    <s v="Alumno_id_930"/>
    <x v="0"/>
    <x v="0"/>
    <d v="2026-04-21T00:00:00"/>
    <x v="2"/>
    <n v="83.43"/>
    <x v="1"/>
  </r>
  <r>
    <x v="813"/>
    <s v="Alumno_id_936"/>
    <x v="1"/>
    <x v="1"/>
    <d v="2026-01-13T00:00:00"/>
    <x v="2"/>
    <n v="93.78"/>
    <x v="1"/>
  </r>
  <r>
    <x v="814"/>
    <s v="Candidato_id_948"/>
    <x v="2"/>
    <x v="2"/>
    <d v="2026-02-25T00:00:00"/>
    <x v="3"/>
    <n v="79.48"/>
    <x v="1"/>
  </r>
  <r>
    <x v="815"/>
    <s v="Alumno_id_953"/>
    <x v="0"/>
    <x v="0"/>
    <d v="2026-04-10T00:00:00"/>
    <x v="2"/>
    <n v="89.52"/>
    <x v="1"/>
  </r>
  <r>
    <x v="816"/>
    <s v="User_id_960"/>
    <x v="2"/>
    <x v="2"/>
    <d v="2026-04-03T00:00:00"/>
    <x v="3"/>
    <n v="91.94"/>
    <x v="1"/>
  </r>
  <r>
    <x v="817"/>
    <s v="Alumno_id_986"/>
    <x v="1"/>
    <x v="1"/>
    <d v="2026-03-01T00:00:00"/>
    <x v="2"/>
    <n v="85.14"/>
    <x v="1"/>
  </r>
  <r>
    <x v="818"/>
    <s v="User_id_987"/>
    <x v="2"/>
    <x v="2"/>
    <d v="2026-01-01T00:00:00"/>
    <x v="3"/>
    <n v="72.430000000000007"/>
    <x v="1"/>
  </r>
  <r>
    <x v="819"/>
    <s v="Estudiante_id_992"/>
    <x v="0"/>
    <x v="0"/>
    <d v="2026-03-09T00:00:00"/>
    <x v="2"/>
    <n v="82.8"/>
    <x v="1"/>
  </r>
  <r>
    <x v="820"/>
    <s v="User_id_994"/>
    <x v="2"/>
    <x v="2"/>
    <d v="2026-02-16T00:00:00"/>
    <x v="2"/>
    <n v="80.040000000000006"/>
    <x v="1"/>
  </r>
  <r>
    <x v="821"/>
    <s v="Alumno_id_5"/>
    <x v="0"/>
    <x v="0"/>
    <d v="2026-04-09T00:00:00"/>
    <x v="1"/>
    <n v="73.75"/>
    <x v="1"/>
  </r>
  <r>
    <x v="822"/>
    <s v="Alumno_id_17"/>
    <x v="1"/>
    <x v="1"/>
    <d v="2026-04-30T00:00:00"/>
    <x v="1"/>
    <n v="84.79"/>
    <x v="1"/>
  </r>
  <r>
    <x v="823"/>
    <s v="Alumno_id_21"/>
    <x v="2"/>
    <x v="2"/>
    <d v="2026-04-07T00:00:00"/>
    <x v="1"/>
    <n v="99.57"/>
    <x v="1"/>
  </r>
  <r>
    <x v="824"/>
    <s v="Alumno_id_26"/>
    <x v="0"/>
    <x v="0"/>
    <d v="2026-01-13T00:00:00"/>
    <x v="1"/>
    <n v="92.63"/>
    <x v="1"/>
  </r>
  <r>
    <x v="825"/>
    <s v="User_id_37"/>
    <x v="3"/>
    <x v="3"/>
    <d v="2026-03-22T00:00:00"/>
    <x v="1"/>
    <n v="74.22"/>
    <x v="1"/>
  </r>
  <r>
    <x v="826"/>
    <s v="User_id_51"/>
    <x v="1"/>
    <x v="1"/>
    <d v="2026-02-05T00:00:00"/>
    <x v="1"/>
    <n v="98.56"/>
    <x v="1"/>
  </r>
  <r>
    <x v="827"/>
    <s v="Estudiante_id_56"/>
    <x v="0"/>
    <x v="0"/>
    <d v="2026-03-24T00:00:00"/>
    <x v="1"/>
    <n v="83.3"/>
    <x v="1"/>
  </r>
  <r>
    <x v="828"/>
    <s v="User_id_62"/>
    <x v="2"/>
    <x v="2"/>
    <d v="2026-03-09T00:00:00"/>
    <x v="1"/>
    <n v="96.89"/>
    <x v="1"/>
  </r>
  <r>
    <x v="829"/>
    <s v="Estudiante_id_72"/>
    <x v="0"/>
    <x v="0"/>
    <d v="2026-03-12T00:00:00"/>
    <x v="1"/>
    <n v="84.58"/>
    <x v="1"/>
  </r>
  <r>
    <x v="830"/>
    <s v="Candidato_id_88"/>
    <x v="1"/>
    <x v="1"/>
    <d v="2026-01-22T00:00:00"/>
    <x v="1"/>
    <n v="83.08"/>
    <x v="1"/>
  </r>
  <r>
    <x v="831"/>
    <s v="Estudiante_id_98"/>
    <x v="1"/>
    <x v="1"/>
    <d v="2026-04-18T00:00:00"/>
    <x v="1"/>
    <n v="84.56"/>
    <x v="1"/>
  </r>
  <r>
    <x v="832"/>
    <s v="User_id_103"/>
    <x v="1"/>
    <x v="1"/>
    <d v="2026-04-23T00:00:00"/>
    <x v="1"/>
    <n v="79.03"/>
    <x v="1"/>
  </r>
  <r>
    <x v="833"/>
    <s v="User_id_132"/>
    <x v="2"/>
    <x v="2"/>
    <d v="2026-03-19T00:00:00"/>
    <x v="1"/>
    <n v="71.319999999999993"/>
    <x v="1"/>
  </r>
  <r>
    <x v="834"/>
    <s v="Candidato_id_136"/>
    <x v="3"/>
    <x v="3"/>
    <d v="2026-02-15T00:00:00"/>
    <x v="1"/>
    <n v="73"/>
    <x v="1"/>
  </r>
  <r>
    <x v="835"/>
    <s v="User_id_157"/>
    <x v="0"/>
    <x v="0"/>
    <d v="2026-03-29T00:00:00"/>
    <x v="1"/>
    <n v="80.319999999999993"/>
    <x v="1"/>
  </r>
  <r>
    <x v="836"/>
    <s v="Estudiante_id_175"/>
    <x v="3"/>
    <x v="3"/>
    <d v="2026-01-29T00:00:00"/>
    <x v="1"/>
    <n v="94.89"/>
    <x v="1"/>
  </r>
  <r>
    <x v="837"/>
    <s v="Estudiante_id_176"/>
    <x v="2"/>
    <x v="2"/>
    <d v="2026-03-14T00:00:00"/>
    <x v="1"/>
    <n v="73.599999999999994"/>
    <x v="1"/>
  </r>
  <r>
    <x v="838"/>
    <s v="User_id_209"/>
    <x v="1"/>
    <x v="1"/>
    <d v="2026-01-22T00:00:00"/>
    <x v="1"/>
    <n v="74.59"/>
    <x v="1"/>
  </r>
  <r>
    <x v="839"/>
    <s v="User_id_225"/>
    <x v="1"/>
    <x v="1"/>
    <d v="2026-03-13T00:00:00"/>
    <x v="1"/>
    <n v="77.42"/>
    <x v="1"/>
  </r>
  <r>
    <x v="840"/>
    <s v="Estudiante_id_228"/>
    <x v="0"/>
    <x v="0"/>
    <d v="2026-02-25T00:00:00"/>
    <x v="1"/>
    <n v="93.54"/>
    <x v="1"/>
  </r>
  <r>
    <x v="841"/>
    <s v="User_id_236"/>
    <x v="3"/>
    <x v="3"/>
    <d v="2026-02-19T00:00:00"/>
    <x v="1"/>
    <n v="87.54"/>
    <x v="1"/>
  </r>
  <r>
    <x v="842"/>
    <s v="Estudiante_id_249"/>
    <x v="1"/>
    <x v="1"/>
    <d v="2026-04-24T00:00:00"/>
    <x v="1"/>
    <n v="96.83"/>
    <x v="1"/>
  </r>
  <r>
    <x v="843"/>
    <s v="Estudiante_id_278"/>
    <x v="1"/>
    <x v="1"/>
    <d v="2026-01-30T00:00:00"/>
    <x v="1"/>
    <n v="88.23"/>
    <x v="1"/>
  </r>
  <r>
    <x v="844"/>
    <s v="User_id_284"/>
    <x v="3"/>
    <x v="3"/>
    <d v="2026-01-08T00:00:00"/>
    <x v="1"/>
    <n v="87.83"/>
    <x v="1"/>
  </r>
  <r>
    <x v="845"/>
    <s v="Estudiante_id_329"/>
    <x v="0"/>
    <x v="0"/>
    <d v="2026-03-24T00:00:00"/>
    <x v="1"/>
    <n v="78.48"/>
    <x v="1"/>
  </r>
  <r>
    <x v="846"/>
    <s v="Alumno_id_344"/>
    <x v="1"/>
    <x v="1"/>
    <d v="2026-02-24T00:00:00"/>
    <x v="1"/>
    <n v="76.84"/>
    <x v="1"/>
  </r>
  <r>
    <x v="847"/>
    <s v="User_id_351"/>
    <x v="1"/>
    <x v="1"/>
    <d v="2026-02-19T00:00:00"/>
    <x v="1"/>
    <n v="92.22"/>
    <x v="1"/>
  </r>
  <r>
    <x v="848"/>
    <s v="Alumno_id_353"/>
    <x v="0"/>
    <x v="0"/>
    <d v="2026-02-11T00:00:00"/>
    <x v="1"/>
    <n v="80.92"/>
    <x v="1"/>
  </r>
  <r>
    <x v="849"/>
    <s v="User_id_368"/>
    <x v="2"/>
    <x v="2"/>
    <d v="2026-02-22T00:00:00"/>
    <x v="1"/>
    <n v="84.18"/>
    <x v="1"/>
  </r>
  <r>
    <x v="850"/>
    <s v="Estudiante_id_381"/>
    <x v="1"/>
    <x v="1"/>
    <d v="2026-05-03T00:00:00"/>
    <x v="1"/>
    <n v="78.17"/>
    <x v="1"/>
  </r>
  <r>
    <x v="851"/>
    <s v="Estudiante_id_394"/>
    <x v="0"/>
    <x v="0"/>
    <d v="2026-03-18T00:00:00"/>
    <x v="1"/>
    <n v="74.27"/>
    <x v="1"/>
  </r>
  <r>
    <x v="852"/>
    <s v="Estudiante_id_398"/>
    <x v="2"/>
    <x v="2"/>
    <d v="2026-04-15T00:00:00"/>
    <x v="1"/>
    <n v="71.7"/>
    <x v="1"/>
  </r>
  <r>
    <x v="853"/>
    <s v="Candidato_id_408"/>
    <x v="0"/>
    <x v="0"/>
    <d v="2026-01-18T00:00:00"/>
    <x v="1"/>
    <n v="91.95"/>
    <x v="1"/>
  </r>
  <r>
    <x v="854"/>
    <s v="Alumno_id_423"/>
    <x v="3"/>
    <x v="3"/>
    <d v="2026-04-20T00:00:00"/>
    <x v="1"/>
    <n v="87.37"/>
    <x v="1"/>
  </r>
  <r>
    <x v="855"/>
    <s v="Estudiante_id_447"/>
    <x v="3"/>
    <x v="3"/>
    <d v="2026-01-05T00:00:00"/>
    <x v="1"/>
    <n v="92.89"/>
    <x v="1"/>
  </r>
  <r>
    <x v="856"/>
    <s v="Estudiante_id_451"/>
    <x v="2"/>
    <x v="2"/>
    <d v="2026-01-03T00:00:00"/>
    <x v="1"/>
    <n v="98.08"/>
    <x v="1"/>
  </r>
  <r>
    <x v="857"/>
    <s v="Estudiante_id_456"/>
    <x v="3"/>
    <x v="3"/>
    <d v="2026-02-14T00:00:00"/>
    <x v="1"/>
    <n v="73.489999999999995"/>
    <x v="1"/>
  </r>
  <r>
    <x v="858"/>
    <s v="Candidato_id_458"/>
    <x v="0"/>
    <x v="0"/>
    <d v="2026-03-22T00:00:00"/>
    <x v="1"/>
    <n v="95.83"/>
    <x v="1"/>
  </r>
  <r>
    <x v="859"/>
    <s v="Estudiante_id_466"/>
    <x v="3"/>
    <x v="3"/>
    <d v="2026-05-05T00:00:00"/>
    <x v="1"/>
    <n v="94.39"/>
    <x v="1"/>
  </r>
  <r>
    <x v="860"/>
    <s v="Alumno_id_475"/>
    <x v="2"/>
    <x v="2"/>
    <d v="2026-05-06T00:00:00"/>
    <x v="1"/>
    <n v="92.45"/>
    <x v="1"/>
  </r>
  <r>
    <x v="861"/>
    <s v="User_id_481"/>
    <x v="0"/>
    <x v="0"/>
    <d v="2026-01-30T00:00:00"/>
    <x v="1"/>
    <n v="98.75"/>
    <x v="1"/>
  </r>
  <r>
    <x v="862"/>
    <s v="User_id_496"/>
    <x v="1"/>
    <x v="1"/>
    <d v="2026-01-08T00:00:00"/>
    <x v="1"/>
    <n v="81.93"/>
    <x v="1"/>
  </r>
  <r>
    <x v="863"/>
    <s v="Estudiante_id_503"/>
    <x v="3"/>
    <x v="3"/>
    <d v="2026-02-07T00:00:00"/>
    <x v="1"/>
    <n v="93.32"/>
    <x v="1"/>
  </r>
  <r>
    <x v="864"/>
    <s v="Candidato_id_525"/>
    <x v="0"/>
    <x v="0"/>
    <d v="2026-01-07T00:00:00"/>
    <x v="1"/>
    <n v="97.53"/>
    <x v="1"/>
  </r>
  <r>
    <x v="865"/>
    <s v="User_id_543"/>
    <x v="3"/>
    <x v="3"/>
    <d v="2026-04-27T00:00:00"/>
    <x v="1"/>
    <n v="76.55"/>
    <x v="1"/>
  </r>
  <r>
    <x v="866"/>
    <s v="Estudiante_id_547"/>
    <x v="0"/>
    <x v="0"/>
    <d v="2026-01-05T00:00:00"/>
    <x v="1"/>
    <n v="73.37"/>
    <x v="1"/>
  </r>
  <r>
    <x v="867"/>
    <s v="User_id_550"/>
    <x v="2"/>
    <x v="2"/>
    <d v="2026-02-25T00:00:00"/>
    <x v="1"/>
    <n v="91.55"/>
    <x v="1"/>
  </r>
  <r>
    <x v="868"/>
    <s v="User_id_551"/>
    <x v="3"/>
    <x v="3"/>
    <d v="2026-03-30T00:00:00"/>
    <x v="1"/>
    <n v="97.92"/>
    <x v="1"/>
  </r>
  <r>
    <x v="869"/>
    <s v="Alumno_id_558"/>
    <x v="0"/>
    <x v="0"/>
    <d v="2026-03-31T00:00:00"/>
    <x v="1"/>
    <n v="83.34"/>
    <x v="1"/>
  </r>
  <r>
    <x v="870"/>
    <s v="Estudiante_id_566"/>
    <x v="3"/>
    <x v="3"/>
    <d v="2026-02-28T00:00:00"/>
    <x v="1"/>
    <n v="83.85"/>
    <x v="1"/>
  </r>
  <r>
    <x v="871"/>
    <s v="Estudiante_id_571"/>
    <x v="1"/>
    <x v="1"/>
    <d v="2026-04-02T00:00:00"/>
    <x v="1"/>
    <n v="97.13"/>
    <x v="1"/>
  </r>
  <r>
    <x v="872"/>
    <s v="Alumno_id_574"/>
    <x v="2"/>
    <x v="2"/>
    <d v="2026-01-17T00:00:00"/>
    <x v="1"/>
    <n v="78.37"/>
    <x v="1"/>
  </r>
  <r>
    <x v="873"/>
    <s v="User_id_582"/>
    <x v="3"/>
    <x v="3"/>
    <d v="2026-04-20T00:00:00"/>
    <x v="1"/>
    <n v="85.94"/>
    <x v="1"/>
  </r>
  <r>
    <x v="874"/>
    <s v="Estudiante_id_583"/>
    <x v="2"/>
    <x v="2"/>
    <d v="2026-02-23T00:00:00"/>
    <x v="1"/>
    <n v="92.97"/>
    <x v="1"/>
  </r>
  <r>
    <x v="875"/>
    <s v="Candidato_id_619"/>
    <x v="2"/>
    <x v="2"/>
    <d v="2026-03-08T00:00:00"/>
    <x v="1"/>
    <n v="77.41"/>
    <x v="1"/>
  </r>
  <r>
    <x v="876"/>
    <s v="Alumno_id_621"/>
    <x v="2"/>
    <x v="2"/>
    <d v="2026-03-26T00:00:00"/>
    <x v="1"/>
    <n v="81.03"/>
    <x v="1"/>
  </r>
  <r>
    <x v="877"/>
    <s v="Alumno_id_630"/>
    <x v="2"/>
    <x v="2"/>
    <d v="2026-04-25T00:00:00"/>
    <x v="1"/>
    <n v="92.26"/>
    <x v="1"/>
  </r>
  <r>
    <x v="878"/>
    <s v="Alumno_id_632"/>
    <x v="1"/>
    <x v="1"/>
    <d v="2026-01-05T00:00:00"/>
    <x v="1"/>
    <n v="73.319999999999993"/>
    <x v="1"/>
  </r>
  <r>
    <x v="879"/>
    <s v="Candidato_id_642"/>
    <x v="0"/>
    <x v="0"/>
    <d v="2026-05-02T00:00:00"/>
    <x v="1"/>
    <n v="79.52"/>
    <x v="1"/>
  </r>
  <r>
    <x v="880"/>
    <s v="User_id_657"/>
    <x v="1"/>
    <x v="1"/>
    <d v="2026-05-05T00:00:00"/>
    <x v="1"/>
    <n v="73.400000000000006"/>
    <x v="1"/>
  </r>
  <r>
    <x v="881"/>
    <s v="User_id_658"/>
    <x v="1"/>
    <x v="1"/>
    <d v="2026-04-02T00:00:00"/>
    <x v="1"/>
    <n v="73.31"/>
    <x v="1"/>
  </r>
  <r>
    <x v="882"/>
    <s v="Estudiante_id_696"/>
    <x v="0"/>
    <x v="0"/>
    <d v="2026-01-28T00:00:00"/>
    <x v="1"/>
    <n v="80.819999999999993"/>
    <x v="1"/>
  </r>
  <r>
    <x v="883"/>
    <s v="Estudiante_id_699"/>
    <x v="0"/>
    <x v="0"/>
    <d v="2026-02-13T00:00:00"/>
    <x v="1"/>
    <n v="90.37"/>
    <x v="1"/>
  </r>
  <r>
    <x v="884"/>
    <s v="Estudiante_id_717"/>
    <x v="1"/>
    <x v="1"/>
    <d v="2026-04-30T00:00:00"/>
    <x v="1"/>
    <n v="84.6"/>
    <x v="1"/>
  </r>
  <r>
    <x v="885"/>
    <s v="User_id_785"/>
    <x v="0"/>
    <x v="0"/>
    <d v="2026-03-13T00:00:00"/>
    <x v="1"/>
    <n v="81.58"/>
    <x v="1"/>
  </r>
  <r>
    <x v="886"/>
    <s v="User_id_800"/>
    <x v="2"/>
    <x v="2"/>
    <d v="2026-04-29T00:00:00"/>
    <x v="1"/>
    <n v="82.21"/>
    <x v="1"/>
  </r>
  <r>
    <x v="887"/>
    <s v="Candidato_id_829"/>
    <x v="0"/>
    <x v="0"/>
    <d v="2026-02-09T00:00:00"/>
    <x v="1"/>
    <n v="93.54"/>
    <x v="1"/>
  </r>
  <r>
    <x v="888"/>
    <s v="Estudiante_id_843"/>
    <x v="1"/>
    <x v="1"/>
    <d v="2026-02-12T00:00:00"/>
    <x v="1"/>
    <n v="88.9"/>
    <x v="1"/>
  </r>
  <r>
    <x v="889"/>
    <s v="User_id_848"/>
    <x v="0"/>
    <x v="0"/>
    <d v="2026-02-18T00:00:00"/>
    <x v="1"/>
    <n v="91.63"/>
    <x v="1"/>
  </r>
  <r>
    <x v="890"/>
    <s v="Alumno_id_857"/>
    <x v="0"/>
    <x v="0"/>
    <d v="2026-01-25T00:00:00"/>
    <x v="1"/>
    <n v="85.12"/>
    <x v="1"/>
  </r>
  <r>
    <x v="891"/>
    <s v="Candidato_id_869"/>
    <x v="2"/>
    <x v="2"/>
    <d v="2026-04-23T00:00:00"/>
    <x v="1"/>
    <n v="86.3"/>
    <x v="1"/>
  </r>
  <r>
    <x v="892"/>
    <s v="Estudiante_id_874"/>
    <x v="1"/>
    <x v="1"/>
    <d v="2026-03-28T00:00:00"/>
    <x v="1"/>
    <n v="71.83"/>
    <x v="1"/>
  </r>
  <r>
    <x v="893"/>
    <s v="Estudiante_id_899"/>
    <x v="2"/>
    <x v="2"/>
    <d v="2026-01-09T00:00:00"/>
    <x v="1"/>
    <n v="76.27"/>
    <x v="1"/>
  </r>
  <r>
    <x v="894"/>
    <s v="Estudiante_id_919"/>
    <x v="3"/>
    <x v="3"/>
    <d v="2026-01-16T00:00:00"/>
    <x v="1"/>
    <n v="87.32"/>
    <x v="1"/>
  </r>
  <r>
    <x v="895"/>
    <s v="Estudiante_id_955"/>
    <x v="3"/>
    <x v="3"/>
    <d v="2026-01-27T00:00:00"/>
    <x v="1"/>
    <n v="91.09"/>
    <x v="1"/>
  </r>
  <r>
    <x v="896"/>
    <s v="User_id_963"/>
    <x v="0"/>
    <x v="0"/>
    <d v="2026-04-26T00:00:00"/>
    <x v="1"/>
    <n v="89.63"/>
    <x v="1"/>
  </r>
  <r>
    <x v="897"/>
    <s v="Estudiante_id_976"/>
    <x v="0"/>
    <x v="0"/>
    <d v="2026-04-05T00:00:00"/>
    <x v="1"/>
    <n v="96.66"/>
    <x v="1"/>
  </r>
  <r>
    <x v="898"/>
    <s v="User_id_1000"/>
    <x v="1"/>
    <x v="1"/>
    <d v="2026-01-21T00:00:00"/>
    <x v="1"/>
    <n v="72.69"/>
    <x v="1"/>
  </r>
  <r>
    <x v="899"/>
    <s v="Estudiante_id_18"/>
    <x v="1"/>
    <x v="1"/>
    <d v="2026-04-19T00:00:00"/>
    <x v="0"/>
    <n v="86.68"/>
    <x v="1"/>
  </r>
  <r>
    <x v="900"/>
    <s v="Estudiante_id_22"/>
    <x v="3"/>
    <x v="3"/>
    <d v="2026-02-13T00:00:00"/>
    <x v="0"/>
    <n v="85.03"/>
    <x v="1"/>
  </r>
  <r>
    <x v="901"/>
    <s v="User_id_23"/>
    <x v="1"/>
    <x v="1"/>
    <d v="2026-04-02T00:00:00"/>
    <x v="0"/>
    <n v="86.12"/>
    <x v="1"/>
  </r>
  <r>
    <x v="902"/>
    <s v="Alumno_id_24"/>
    <x v="2"/>
    <x v="2"/>
    <d v="2026-04-02T00:00:00"/>
    <x v="0"/>
    <n v="80.83"/>
    <x v="1"/>
  </r>
  <r>
    <x v="903"/>
    <s v="User_id_47"/>
    <x v="3"/>
    <x v="3"/>
    <d v="2026-03-02T00:00:00"/>
    <x v="0"/>
    <n v="93.93"/>
    <x v="1"/>
  </r>
  <r>
    <x v="904"/>
    <s v="Alumno_id_50"/>
    <x v="1"/>
    <x v="1"/>
    <d v="2026-02-04T00:00:00"/>
    <x v="0"/>
    <n v="77.959999999999994"/>
    <x v="1"/>
  </r>
  <r>
    <x v="905"/>
    <s v="Alumno_id_63"/>
    <x v="1"/>
    <x v="1"/>
    <d v="2026-03-15T00:00:00"/>
    <x v="0"/>
    <n v="85.96"/>
    <x v="1"/>
  </r>
  <r>
    <x v="906"/>
    <s v="Estudiante_id_93"/>
    <x v="3"/>
    <x v="3"/>
    <d v="2026-04-02T00:00:00"/>
    <x v="0"/>
    <n v="85.64"/>
    <x v="1"/>
  </r>
  <r>
    <x v="907"/>
    <s v="Candidato_id_95"/>
    <x v="3"/>
    <x v="3"/>
    <d v="2026-04-01T00:00:00"/>
    <x v="0"/>
    <n v="99.79"/>
    <x v="1"/>
  </r>
  <r>
    <x v="908"/>
    <s v="Alumno_id_96"/>
    <x v="3"/>
    <x v="3"/>
    <d v="2026-02-20T00:00:00"/>
    <x v="0"/>
    <n v="90.05"/>
    <x v="1"/>
  </r>
  <r>
    <x v="909"/>
    <s v="Candidato_id_120"/>
    <x v="2"/>
    <x v="2"/>
    <d v="2026-01-24T00:00:00"/>
    <x v="0"/>
    <n v="77.19"/>
    <x v="1"/>
  </r>
  <r>
    <x v="910"/>
    <s v="User_id_128"/>
    <x v="0"/>
    <x v="0"/>
    <d v="2026-01-08T00:00:00"/>
    <x v="0"/>
    <n v="86.41"/>
    <x v="1"/>
  </r>
  <r>
    <x v="911"/>
    <s v="User_id_141"/>
    <x v="3"/>
    <x v="3"/>
    <d v="2026-01-04T00:00:00"/>
    <x v="0"/>
    <n v="92.29"/>
    <x v="1"/>
  </r>
  <r>
    <x v="912"/>
    <s v="Alumno_id_164"/>
    <x v="0"/>
    <x v="0"/>
    <d v="2026-03-01T00:00:00"/>
    <x v="0"/>
    <n v="97.79"/>
    <x v="1"/>
  </r>
  <r>
    <x v="913"/>
    <s v="Estudiante_id_197"/>
    <x v="0"/>
    <x v="0"/>
    <d v="2026-04-14T00:00:00"/>
    <x v="0"/>
    <n v="94.81"/>
    <x v="1"/>
  </r>
  <r>
    <x v="914"/>
    <s v="Estudiante_id_212"/>
    <x v="1"/>
    <x v="1"/>
    <d v="2026-04-14T00:00:00"/>
    <x v="0"/>
    <n v="87.18"/>
    <x v="1"/>
  </r>
  <r>
    <x v="915"/>
    <s v="User_id_214"/>
    <x v="0"/>
    <x v="0"/>
    <d v="2026-03-11T00:00:00"/>
    <x v="0"/>
    <n v="91.44"/>
    <x v="1"/>
  </r>
  <r>
    <x v="916"/>
    <s v="User_id_218"/>
    <x v="2"/>
    <x v="2"/>
    <d v="2026-03-17T00:00:00"/>
    <x v="0"/>
    <n v="80.95"/>
    <x v="1"/>
  </r>
  <r>
    <x v="917"/>
    <s v="Alumno_id_234"/>
    <x v="2"/>
    <x v="2"/>
    <d v="2026-03-16T00:00:00"/>
    <x v="0"/>
    <n v="90.45"/>
    <x v="1"/>
  </r>
  <r>
    <x v="918"/>
    <s v="User_id_263"/>
    <x v="0"/>
    <x v="0"/>
    <d v="2026-04-23T00:00:00"/>
    <x v="0"/>
    <n v="77.95"/>
    <x v="1"/>
  </r>
  <r>
    <x v="919"/>
    <s v="Candidato_id_266"/>
    <x v="3"/>
    <x v="3"/>
    <d v="2026-02-06T00:00:00"/>
    <x v="0"/>
    <n v="86.85"/>
    <x v="1"/>
  </r>
  <r>
    <x v="920"/>
    <s v="Alumno_id_272"/>
    <x v="2"/>
    <x v="2"/>
    <d v="2026-01-27T00:00:00"/>
    <x v="0"/>
    <n v="75.13"/>
    <x v="1"/>
  </r>
  <r>
    <x v="921"/>
    <s v="Alumno_id_282"/>
    <x v="3"/>
    <x v="3"/>
    <d v="2026-01-29T00:00:00"/>
    <x v="0"/>
    <n v="91.96"/>
    <x v="1"/>
  </r>
  <r>
    <x v="922"/>
    <s v="Candidato_id_283"/>
    <x v="0"/>
    <x v="0"/>
    <d v="2026-04-21T00:00:00"/>
    <x v="0"/>
    <n v="85.5"/>
    <x v="1"/>
  </r>
  <r>
    <x v="923"/>
    <s v="Estudiante_id_286"/>
    <x v="3"/>
    <x v="3"/>
    <d v="2026-03-06T00:00:00"/>
    <x v="0"/>
    <n v="88.13"/>
    <x v="1"/>
  </r>
  <r>
    <x v="924"/>
    <s v="Estudiante_id_294"/>
    <x v="0"/>
    <x v="0"/>
    <d v="2026-04-03T00:00:00"/>
    <x v="0"/>
    <n v="94.28"/>
    <x v="1"/>
  </r>
  <r>
    <x v="925"/>
    <s v="Estudiante_id_297"/>
    <x v="1"/>
    <x v="1"/>
    <d v="2026-05-04T00:00:00"/>
    <x v="0"/>
    <n v="91.51"/>
    <x v="1"/>
  </r>
  <r>
    <x v="926"/>
    <s v="Alumno_id_310"/>
    <x v="0"/>
    <x v="0"/>
    <d v="2026-03-09T00:00:00"/>
    <x v="0"/>
    <n v="70.319999999999993"/>
    <x v="1"/>
  </r>
  <r>
    <x v="927"/>
    <s v="Estudiante_id_320"/>
    <x v="1"/>
    <x v="1"/>
    <d v="2026-02-14T00:00:00"/>
    <x v="0"/>
    <n v="71.75"/>
    <x v="1"/>
  </r>
  <r>
    <x v="928"/>
    <s v="Candidato_id_338"/>
    <x v="3"/>
    <x v="3"/>
    <d v="2026-01-03T00:00:00"/>
    <x v="0"/>
    <n v="87.81"/>
    <x v="1"/>
  </r>
  <r>
    <x v="929"/>
    <s v="User_id_354"/>
    <x v="0"/>
    <x v="0"/>
    <d v="2026-04-24T00:00:00"/>
    <x v="0"/>
    <n v="94.14"/>
    <x v="1"/>
  </r>
  <r>
    <x v="930"/>
    <s v="User_id_355"/>
    <x v="3"/>
    <x v="3"/>
    <d v="2026-02-18T00:00:00"/>
    <x v="0"/>
    <n v="99.62"/>
    <x v="1"/>
  </r>
  <r>
    <x v="931"/>
    <s v="Estudiante_id_357"/>
    <x v="0"/>
    <x v="0"/>
    <d v="2026-03-07T00:00:00"/>
    <x v="0"/>
    <n v="94.55"/>
    <x v="1"/>
  </r>
  <r>
    <x v="932"/>
    <s v="User_id_358"/>
    <x v="2"/>
    <x v="2"/>
    <d v="2026-03-29T00:00:00"/>
    <x v="0"/>
    <n v="96.85"/>
    <x v="1"/>
  </r>
  <r>
    <x v="933"/>
    <s v="Estudiante_id_363"/>
    <x v="2"/>
    <x v="2"/>
    <d v="2026-01-21T00:00:00"/>
    <x v="0"/>
    <n v="93.04"/>
    <x v="1"/>
  </r>
  <r>
    <x v="934"/>
    <s v="Estudiante_id_371"/>
    <x v="1"/>
    <x v="1"/>
    <d v="2026-02-22T00:00:00"/>
    <x v="0"/>
    <n v="84.28"/>
    <x v="1"/>
  </r>
  <r>
    <x v="935"/>
    <s v="Candidato_id_392"/>
    <x v="0"/>
    <x v="0"/>
    <d v="2026-03-14T00:00:00"/>
    <x v="0"/>
    <n v="91.04"/>
    <x v="1"/>
  </r>
  <r>
    <x v="936"/>
    <s v="Estudiante_id_404"/>
    <x v="1"/>
    <x v="1"/>
    <d v="2026-04-11T00:00:00"/>
    <x v="0"/>
    <n v="74.959999999999994"/>
    <x v="1"/>
  </r>
  <r>
    <x v="937"/>
    <s v="User_id_405"/>
    <x v="3"/>
    <x v="3"/>
    <d v="2026-04-22T00:00:00"/>
    <x v="0"/>
    <n v="89.14"/>
    <x v="1"/>
  </r>
  <r>
    <x v="938"/>
    <s v="Estudiante_id_406"/>
    <x v="0"/>
    <x v="0"/>
    <d v="2026-02-28T00:00:00"/>
    <x v="0"/>
    <n v="77.92"/>
    <x v="1"/>
  </r>
  <r>
    <x v="939"/>
    <s v="User_id_414"/>
    <x v="3"/>
    <x v="3"/>
    <d v="2026-01-31T00:00:00"/>
    <x v="0"/>
    <n v="77.349999999999994"/>
    <x v="1"/>
  </r>
  <r>
    <x v="940"/>
    <s v="User_id_439"/>
    <x v="1"/>
    <x v="1"/>
    <d v="2026-01-16T00:00:00"/>
    <x v="0"/>
    <n v="90.84"/>
    <x v="1"/>
  </r>
  <r>
    <x v="941"/>
    <s v="User_id_442"/>
    <x v="1"/>
    <x v="1"/>
    <d v="2026-03-11T00:00:00"/>
    <x v="0"/>
    <n v="71.05"/>
    <x v="1"/>
  </r>
  <r>
    <x v="942"/>
    <s v="Estudiante_id_448"/>
    <x v="0"/>
    <x v="0"/>
    <d v="2026-02-22T00:00:00"/>
    <x v="0"/>
    <n v="98.71"/>
    <x v="1"/>
  </r>
  <r>
    <x v="943"/>
    <s v="Estudiante_id_450"/>
    <x v="3"/>
    <x v="3"/>
    <d v="2026-05-04T00:00:00"/>
    <x v="0"/>
    <n v="92.03"/>
    <x v="1"/>
  </r>
  <r>
    <x v="944"/>
    <s v="Alumno_id_488"/>
    <x v="0"/>
    <x v="0"/>
    <d v="2026-03-11T00:00:00"/>
    <x v="0"/>
    <n v="72.239999999999995"/>
    <x v="1"/>
  </r>
  <r>
    <x v="945"/>
    <s v="Alumno_id_489"/>
    <x v="0"/>
    <x v="0"/>
    <d v="2026-04-13T00:00:00"/>
    <x v="0"/>
    <n v="81.17"/>
    <x v="1"/>
  </r>
  <r>
    <x v="946"/>
    <s v="Alumno_id_490"/>
    <x v="0"/>
    <x v="0"/>
    <d v="2026-03-07T00:00:00"/>
    <x v="0"/>
    <n v="79.37"/>
    <x v="1"/>
  </r>
  <r>
    <x v="947"/>
    <s v="User_id_497"/>
    <x v="2"/>
    <x v="2"/>
    <d v="2026-03-08T00:00:00"/>
    <x v="0"/>
    <n v="97.49"/>
    <x v="1"/>
  </r>
  <r>
    <x v="948"/>
    <s v="Alumno_id_502"/>
    <x v="2"/>
    <x v="2"/>
    <d v="2026-01-25T00:00:00"/>
    <x v="0"/>
    <n v="80.27"/>
    <x v="1"/>
  </r>
  <r>
    <x v="949"/>
    <s v="Alumno_id_514"/>
    <x v="3"/>
    <x v="3"/>
    <d v="2026-04-26T00:00:00"/>
    <x v="0"/>
    <n v="91.99"/>
    <x v="1"/>
  </r>
  <r>
    <x v="950"/>
    <s v="Estudiante_id_515"/>
    <x v="3"/>
    <x v="3"/>
    <d v="2026-02-04T00:00:00"/>
    <x v="0"/>
    <n v="78.760000000000005"/>
    <x v="1"/>
  </r>
  <r>
    <x v="951"/>
    <s v="Estudiante_id_552"/>
    <x v="2"/>
    <x v="2"/>
    <d v="2026-05-02T00:00:00"/>
    <x v="0"/>
    <n v="80.09"/>
    <x v="1"/>
  </r>
  <r>
    <x v="952"/>
    <s v="User_id_559"/>
    <x v="0"/>
    <x v="0"/>
    <d v="2026-02-09T00:00:00"/>
    <x v="0"/>
    <n v="90.66"/>
    <x v="1"/>
  </r>
  <r>
    <x v="953"/>
    <s v="Alumno_id_578"/>
    <x v="0"/>
    <x v="0"/>
    <d v="2026-03-30T00:00:00"/>
    <x v="0"/>
    <n v="91.7"/>
    <x v="1"/>
  </r>
  <r>
    <x v="954"/>
    <s v="Estudiante_id_586"/>
    <x v="3"/>
    <x v="3"/>
    <d v="2026-04-07T00:00:00"/>
    <x v="0"/>
    <n v="82.11"/>
    <x v="1"/>
  </r>
  <r>
    <x v="955"/>
    <s v="User_id_599"/>
    <x v="2"/>
    <x v="2"/>
    <d v="2026-04-21T00:00:00"/>
    <x v="0"/>
    <n v="78.38"/>
    <x v="1"/>
  </r>
  <r>
    <x v="956"/>
    <s v="Candidato_id_610"/>
    <x v="2"/>
    <x v="2"/>
    <d v="2026-04-09T00:00:00"/>
    <x v="0"/>
    <n v="85.87"/>
    <x v="1"/>
  </r>
  <r>
    <x v="957"/>
    <s v="Alumno_id_631"/>
    <x v="0"/>
    <x v="0"/>
    <d v="2026-04-24T00:00:00"/>
    <x v="0"/>
    <n v="85.39"/>
    <x v="1"/>
  </r>
  <r>
    <x v="958"/>
    <s v="User_id_646"/>
    <x v="0"/>
    <x v="0"/>
    <d v="2026-04-18T00:00:00"/>
    <x v="0"/>
    <n v="76.09"/>
    <x v="1"/>
  </r>
  <r>
    <x v="959"/>
    <s v="Estudiante_id_649"/>
    <x v="2"/>
    <x v="2"/>
    <d v="2026-01-23T00:00:00"/>
    <x v="0"/>
    <n v="91.36"/>
    <x v="1"/>
  </r>
  <r>
    <x v="960"/>
    <s v="Candidato_id_676"/>
    <x v="2"/>
    <x v="2"/>
    <d v="2026-02-12T00:00:00"/>
    <x v="0"/>
    <n v="85.14"/>
    <x v="1"/>
  </r>
  <r>
    <x v="961"/>
    <s v="Estudiante_id_694"/>
    <x v="1"/>
    <x v="1"/>
    <d v="2026-04-29T00:00:00"/>
    <x v="0"/>
    <n v="75.08"/>
    <x v="1"/>
  </r>
  <r>
    <x v="962"/>
    <s v="User_id_697"/>
    <x v="3"/>
    <x v="3"/>
    <d v="2026-04-12T00:00:00"/>
    <x v="0"/>
    <n v="93.39"/>
    <x v="1"/>
  </r>
  <r>
    <x v="963"/>
    <s v="User_id_714"/>
    <x v="0"/>
    <x v="0"/>
    <d v="2026-01-03T00:00:00"/>
    <x v="0"/>
    <n v="84.81"/>
    <x v="1"/>
  </r>
  <r>
    <x v="964"/>
    <s v="Candidato_id_721"/>
    <x v="1"/>
    <x v="1"/>
    <d v="2026-02-14T00:00:00"/>
    <x v="0"/>
    <n v="70.180000000000007"/>
    <x v="1"/>
  </r>
  <r>
    <x v="965"/>
    <s v="Alumno_id_764"/>
    <x v="2"/>
    <x v="2"/>
    <d v="2026-05-06T00:00:00"/>
    <x v="0"/>
    <n v="89.55"/>
    <x v="1"/>
  </r>
  <r>
    <x v="966"/>
    <s v="User_id_775"/>
    <x v="3"/>
    <x v="3"/>
    <d v="2026-04-01T00:00:00"/>
    <x v="0"/>
    <n v="77.28"/>
    <x v="1"/>
  </r>
  <r>
    <x v="967"/>
    <s v="User_id_790"/>
    <x v="3"/>
    <x v="3"/>
    <d v="2026-04-16T00:00:00"/>
    <x v="0"/>
    <n v="98.14"/>
    <x v="1"/>
  </r>
  <r>
    <x v="968"/>
    <s v="Estudiante_id_819"/>
    <x v="0"/>
    <x v="0"/>
    <d v="2026-04-09T00:00:00"/>
    <x v="0"/>
    <n v="84.58"/>
    <x v="1"/>
  </r>
  <r>
    <x v="969"/>
    <s v="User_id_830"/>
    <x v="3"/>
    <x v="3"/>
    <d v="2026-03-27T00:00:00"/>
    <x v="0"/>
    <n v="95"/>
    <x v="1"/>
  </r>
  <r>
    <x v="970"/>
    <s v="Estudiante_id_878"/>
    <x v="1"/>
    <x v="1"/>
    <d v="2026-04-07T00:00:00"/>
    <x v="0"/>
    <n v="89.49"/>
    <x v="1"/>
  </r>
  <r>
    <x v="971"/>
    <s v="Alumno_id_880"/>
    <x v="1"/>
    <x v="1"/>
    <d v="2026-05-04T00:00:00"/>
    <x v="0"/>
    <n v="89.32"/>
    <x v="1"/>
  </r>
  <r>
    <x v="972"/>
    <s v="Estudiante_id_891"/>
    <x v="2"/>
    <x v="2"/>
    <d v="2026-01-14T00:00:00"/>
    <x v="0"/>
    <n v="82.78"/>
    <x v="1"/>
  </r>
  <r>
    <x v="973"/>
    <s v="Estudiante_id_893"/>
    <x v="1"/>
    <x v="1"/>
    <d v="2026-01-06T00:00:00"/>
    <x v="0"/>
    <n v="72.19"/>
    <x v="1"/>
  </r>
  <r>
    <x v="974"/>
    <s v="Estudiante_id_903"/>
    <x v="2"/>
    <x v="2"/>
    <d v="2026-03-14T00:00:00"/>
    <x v="0"/>
    <n v="99.12"/>
    <x v="1"/>
  </r>
  <r>
    <x v="975"/>
    <s v="User_id_908"/>
    <x v="3"/>
    <x v="3"/>
    <d v="2026-03-20T00:00:00"/>
    <x v="0"/>
    <n v="82.57"/>
    <x v="1"/>
  </r>
  <r>
    <x v="976"/>
    <s v="User_id_915"/>
    <x v="1"/>
    <x v="1"/>
    <d v="2026-04-08T00:00:00"/>
    <x v="0"/>
    <n v="95.15"/>
    <x v="1"/>
  </r>
  <r>
    <x v="977"/>
    <s v="User_id_920"/>
    <x v="0"/>
    <x v="0"/>
    <d v="2026-03-13T00:00:00"/>
    <x v="0"/>
    <n v="76.56"/>
    <x v="1"/>
  </r>
  <r>
    <x v="978"/>
    <s v="Alumno_id_923"/>
    <x v="0"/>
    <x v="0"/>
    <d v="2026-01-16T00:00:00"/>
    <x v="0"/>
    <n v="80.010000000000005"/>
    <x v="1"/>
  </r>
  <r>
    <x v="979"/>
    <s v="User_id_932"/>
    <x v="1"/>
    <x v="1"/>
    <d v="2026-03-14T00:00:00"/>
    <x v="0"/>
    <n v="98.06"/>
    <x v="1"/>
  </r>
  <r>
    <x v="980"/>
    <s v="Estudiante_id_956"/>
    <x v="0"/>
    <x v="0"/>
    <d v="2026-02-19T00:00:00"/>
    <x v="0"/>
    <n v="70.13"/>
    <x v="1"/>
  </r>
  <r>
    <x v="981"/>
    <s v="Estudiante_id_959"/>
    <x v="3"/>
    <x v="3"/>
    <d v="2026-03-15T00:00:00"/>
    <x v="0"/>
    <n v="73.77"/>
    <x v="1"/>
  </r>
  <r>
    <x v="982"/>
    <s v="Estudiante_id_961"/>
    <x v="0"/>
    <x v="0"/>
    <d v="2026-03-22T00:00:00"/>
    <x v="0"/>
    <n v="80.650000000000006"/>
    <x v="1"/>
  </r>
  <r>
    <x v="983"/>
    <s v="Alumno_id_974"/>
    <x v="1"/>
    <x v="1"/>
    <d v="2026-01-30T00:00:00"/>
    <x v="0"/>
    <n v="77.89"/>
    <x v="1"/>
  </r>
  <r>
    <x v="984"/>
    <s v="Candidato_id_977"/>
    <x v="2"/>
    <x v="2"/>
    <d v="2026-04-12T00:00:00"/>
    <x v="0"/>
    <n v="72.739999999999995"/>
    <x v="1"/>
  </r>
  <r>
    <x v="985"/>
    <s v="User_id_983"/>
    <x v="1"/>
    <x v="1"/>
    <d v="2026-04-05T00:00:00"/>
    <x v="0"/>
    <n v="91.2"/>
    <x v="1"/>
  </r>
  <r>
    <x v="986"/>
    <s v="Estudiante_id_14"/>
    <x v="2"/>
    <x v="2"/>
    <d v="2024-12-29T00:00:00"/>
    <x v="1"/>
    <n v="91.03"/>
    <x v="2"/>
  </r>
  <r>
    <x v="987"/>
    <s v="Candidato_id_84"/>
    <x v="2"/>
    <x v="2"/>
    <d v="2024-12-28T00:00:00"/>
    <x v="0"/>
    <n v="75.02"/>
    <x v="2"/>
  </r>
  <r>
    <x v="988"/>
    <s v="Estudiante_id_159"/>
    <x v="1"/>
    <x v="1"/>
    <d v="2024-12-29T00:00:00"/>
    <x v="3"/>
    <n v="86.78"/>
    <x v="2"/>
  </r>
  <r>
    <x v="989"/>
    <s v="Estudiante_id_268"/>
    <x v="2"/>
    <x v="2"/>
    <d v="2024-12-31T00:00:00"/>
    <x v="3"/>
    <n v="95.05"/>
    <x v="2"/>
  </r>
  <r>
    <x v="990"/>
    <s v="User_id_308"/>
    <x v="2"/>
    <x v="2"/>
    <d v="2024-12-29T00:00:00"/>
    <x v="3"/>
    <n v="90.05"/>
    <x v="2"/>
  </r>
  <r>
    <x v="991"/>
    <s v="User_id_334"/>
    <x v="3"/>
    <x v="3"/>
    <d v="2024-12-27T00:00:00"/>
    <x v="2"/>
    <n v="81.03"/>
    <x v="2"/>
  </r>
  <r>
    <x v="992"/>
    <s v="Estudiante_id_453"/>
    <x v="3"/>
    <x v="3"/>
    <d v="2024-12-25T00:00:00"/>
    <x v="2"/>
    <n v="75.790000000000006"/>
    <x v="2"/>
  </r>
  <r>
    <x v="993"/>
    <s v="Alumno_id_464"/>
    <x v="1"/>
    <x v="1"/>
    <d v="2024-12-24T00:00:00"/>
    <x v="0"/>
    <n v="90.86"/>
    <x v="2"/>
  </r>
  <r>
    <x v="994"/>
    <s v="Candidato_id_603"/>
    <x v="3"/>
    <x v="3"/>
    <d v="2024-12-30T00:00:00"/>
    <x v="0"/>
    <n v="86.92"/>
    <x v="2"/>
  </r>
  <r>
    <x v="995"/>
    <s v="Estudiante_id_620"/>
    <x v="1"/>
    <x v="1"/>
    <d v="2024-12-30T00:00:00"/>
    <x v="1"/>
    <n v="90.48"/>
    <x v="2"/>
  </r>
  <r>
    <x v="996"/>
    <s v="Estudiante_id_705"/>
    <x v="2"/>
    <x v="2"/>
    <d v="2024-12-27T00:00:00"/>
    <x v="0"/>
    <n v="70.91"/>
    <x v="2"/>
  </r>
  <r>
    <x v="997"/>
    <s v="User_id_743"/>
    <x v="3"/>
    <x v="3"/>
    <d v="2024-12-28T00:00:00"/>
    <x v="1"/>
    <n v="94.45"/>
    <x v="2"/>
  </r>
  <r>
    <x v="998"/>
    <s v="User_id_757"/>
    <x v="3"/>
    <x v="3"/>
    <d v="2024-12-23T00:00:00"/>
    <x v="3"/>
    <n v="83.03"/>
    <x v="2"/>
  </r>
  <r>
    <x v="999"/>
    <s v="Candidato_id_868"/>
    <x v="3"/>
    <x v="3"/>
    <d v="2024-12-29T00:00:00"/>
    <x v="1"/>
    <n v="77.8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500000"/>
    <x v="0"/>
  </r>
  <r>
    <x v="1"/>
    <x v="1"/>
    <n v="300000"/>
    <x v="0"/>
  </r>
  <r>
    <x v="2"/>
    <x v="2"/>
    <n v="450000"/>
    <x v="0"/>
  </r>
  <r>
    <x v="3"/>
    <x v="3"/>
    <n v="250000"/>
    <x v="0"/>
  </r>
  <r>
    <x v="4"/>
    <x v="4"/>
    <n v="800000"/>
    <x v="1"/>
  </r>
  <r>
    <x v="5"/>
    <x v="5"/>
    <n v="200000"/>
    <x v="1"/>
  </r>
  <r>
    <x v="6"/>
    <x v="6"/>
    <n v="450000"/>
    <x v="1"/>
  </r>
  <r>
    <x v="7"/>
    <x v="7"/>
    <n v="15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0A6DC-D0CE-4E53-B0D3-EC4193DD2943}" name="TablaDiná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5:B44" firstHeaderRow="1" firstDataRow="1" firstDataCol="1"/>
  <pivotFields count="4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2"/>
        <item x="1"/>
        <item x="5"/>
        <item x="6"/>
        <item x="0"/>
        <item x="4"/>
        <item x="3"/>
        <item x="7"/>
        <item t="default"/>
      </items>
    </pivotField>
    <pivotField dataField="1" showAll="0"/>
    <pivotField numFmtId="2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PresupuestoAnual" fld="2" baseField="1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A2715-B740-4BB3-888D-D85B3DC87442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7:B71" firstHeaderRow="1" firstDataRow="1" firstDataCol="1"/>
  <pivotFields count="8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 sortType="ascending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lumnoID" fld="0" subtotal="count" baseField="7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2BA0A-9546-46D8-BF63-640D655C80D7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8:B63" firstHeaderRow="1" firstDataRow="1" firstDataCol="1"/>
  <pivotFields count="8">
    <pivotField showAll="0" defaultSubtotal="0"/>
    <pivotField showAll="0" defaultSubtotal="0"/>
    <pivotField showAll="0" defaultSubtotal="0">
      <items count="4">
        <item x="2"/>
        <item x="3"/>
        <item x="0"/>
        <item x="1"/>
      </items>
    </pivotField>
    <pivotField axis="axisRow" showAll="0" sortType="descending" defaultSubtotal="0">
      <items count="4">
        <item x="3"/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 defaultSubtotal="0"/>
    <pivotField showAll="0" defaultSubtotal="0"/>
    <pivotField dataField="1" showAll="0" defaultSubtotal="0"/>
    <pivotField showAll="0" sortType="descending" defaultSubtotal="0">
      <items count="3">
        <item x="1"/>
        <item x="0"/>
        <item x="2"/>
      </items>
    </pivotField>
  </pivotFields>
  <rowFields count="1">
    <field x="3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Promedio de PromedioHistorico" fld="6" subtotal="average" baseField="2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85290-73F8-4EE0-B81F-5739BF8C2BE1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8:B53" firstHeaderRow="1" firstDataRow="1" firstDataCol="1"/>
  <pivotFields count="8">
    <pivotField dataField="1" showAll="0">
      <items count="1001">
        <item x="622"/>
        <item x="252"/>
        <item x="139"/>
        <item x="452"/>
        <item x="821"/>
        <item x="0"/>
        <item x="453"/>
        <item x="454"/>
        <item x="253"/>
        <item x="140"/>
        <item x="388"/>
        <item x="455"/>
        <item x="728"/>
        <item x="986"/>
        <item x="623"/>
        <item x="141"/>
        <item x="822"/>
        <item x="899"/>
        <item x="1"/>
        <item x="624"/>
        <item x="823"/>
        <item x="900"/>
        <item x="901"/>
        <item x="902"/>
        <item x="625"/>
        <item x="824"/>
        <item x="456"/>
        <item x="254"/>
        <item x="729"/>
        <item x="457"/>
        <item x="2"/>
        <item x="142"/>
        <item x="626"/>
        <item x="627"/>
        <item x="628"/>
        <item x="255"/>
        <item x="825"/>
        <item x="458"/>
        <item x="3"/>
        <item x="730"/>
        <item x="4"/>
        <item x="459"/>
        <item x="143"/>
        <item x="5"/>
        <item x="460"/>
        <item x="144"/>
        <item x="903"/>
        <item x="629"/>
        <item x="731"/>
        <item x="904"/>
        <item x="826"/>
        <item x="461"/>
        <item x="732"/>
        <item x="145"/>
        <item x="389"/>
        <item x="827"/>
        <item x="256"/>
        <item x="462"/>
        <item x="630"/>
        <item x="463"/>
        <item x="73"/>
        <item x="828"/>
        <item x="905"/>
        <item x="390"/>
        <item x="733"/>
        <item x="74"/>
        <item x="734"/>
        <item x="75"/>
        <item x="735"/>
        <item x="464"/>
        <item x="631"/>
        <item x="829"/>
        <item x="736"/>
        <item x="6"/>
        <item x="391"/>
        <item x="392"/>
        <item x="76"/>
        <item x="146"/>
        <item x="632"/>
        <item x="147"/>
        <item x="7"/>
        <item x="148"/>
        <item x="633"/>
        <item x="987"/>
        <item x="634"/>
        <item x="393"/>
        <item x="394"/>
        <item x="830"/>
        <item x="465"/>
        <item x="257"/>
        <item x="149"/>
        <item x="8"/>
        <item x="906"/>
        <item x="466"/>
        <item x="907"/>
        <item x="908"/>
        <item x="77"/>
        <item x="831"/>
        <item x="150"/>
        <item x="737"/>
        <item x="151"/>
        <item x="152"/>
        <item x="832"/>
        <item x="258"/>
        <item x="738"/>
        <item x="395"/>
        <item x="467"/>
        <item x="259"/>
        <item x="739"/>
        <item x="740"/>
        <item x="468"/>
        <item x="741"/>
        <item x="260"/>
        <item x="469"/>
        <item x="153"/>
        <item x="154"/>
        <item x="635"/>
        <item x="261"/>
        <item x="636"/>
        <item x="909"/>
        <item x="742"/>
        <item x="262"/>
        <item x="396"/>
        <item x="78"/>
        <item x="397"/>
        <item x="470"/>
        <item x="263"/>
        <item x="910"/>
        <item x="155"/>
        <item x="156"/>
        <item x="398"/>
        <item x="833"/>
        <item x="471"/>
        <item x="157"/>
        <item x="743"/>
        <item x="834"/>
        <item x="399"/>
        <item x="264"/>
        <item x="472"/>
        <item x="265"/>
        <item x="911"/>
        <item x="473"/>
        <item x="158"/>
        <item x="266"/>
        <item x="267"/>
        <item x="9"/>
        <item x="10"/>
        <item x="637"/>
        <item x="638"/>
        <item x="159"/>
        <item x="744"/>
        <item x="474"/>
        <item x="79"/>
        <item x="160"/>
        <item x="80"/>
        <item x="161"/>
        <item x="835"/>
        <item x="11"/>
        <item x="988"/>
        <item x="268"/>
        <item x="475"/>
        <item x="12"/>
        <item x="639"/>
        <item x="912"/>
        <item x="400"/>
        <item x="81"/>
        <item x="640"/>
        <item x="13"/>
        <item x="476"/>
        <item x="745"/>
        <item x="162"/>
        <item x="82"/>
        <item x="477"/>
        <item x="163"/>
        <item x="836"/>
        <item x="837"/>
        <item x="14"/>
        <item x="401"/>
        <item x="15"/>
        <item x="269"/>
        <item x="746"/>
        <item x="402"/>
        <item x="270"/>
        <item x="16"/>
        <item x="641"/>
        <item x="478"/>
        <item x="403"/>
        <item x="479"/>
        <item x="17"/>
        <item x="480"/>
        <item x="747"/>
        <item x="481"/>
        <item x="271"/>
        <item x="272"/>
        <item x="748"/>
        <item x="83"/>
        <item x="913"/>
        <item x="164"/>
        <item x="749"/>
        <item x="273"/>
        <item x="18"/>
        <item x="750"/>
        <item x="165"/>
        <item x="751"/>
        <item x="166"/>
        <item x="482"/>
        <item x="642"/>
        <item x="483"/>
        <item x="838"/>
        <item x="484"/>
        <item x="274"/>
        <item x="914"/>
        <item x="643"/>
        <item x="915"/>
        <item x="167"/>
        <item x="404"/>
        <item x="275"/>
        <item x="916"/>
        <item x="405"/>
        <item x="644"/>
        <item x="752"/>
        <item x="645"/>
        <item x="646"/>
        <item x="647"/>
        <item x="839"/>
        <item x="168"/>
        <item x="19"/>
        <item x="840"/>
        <item x="648"/>
        <item x="406"/>
        <item x="485"/>
        <item x="753"/>
        <item x="276"/>
        <item x="917"/>
        <item x="649"/>
        <item x="841"/>
        <item x="277"/>
        <item x="486"/>
        <item x="278"/>
        <item x="20"/>
        <item x="279"/>
        <item x="280"/>
        <item x="407"/>
        <item x="21"/>
        <item x="650"/>
        <item x="22"/>
        <item x="487"/>
        <item x="408"/>
        <item x="842"/>
        <item x="488"/>
        <item x="23"/>
        <item x="24"/>
        <item x="409"/>
        <item x="651"/>
        <item x="281"/>
        <item x="282"/>
        <item x="652"/>
        <item x="489"/>
        <item x="283"/>
        <item x="25"/>
        <item x="26"/>
        <item x="284"/>
        <item x="918"/>
        <item x="653"/>
        <item x="84"/>
        <item x="919"/>
        <item x="285"/>
        <item x="989"/>
        <item x="654"/>
        <item x="169"/>
        <item x="754"/>
        <item x="920"/>
        <item x="755"/>
        <item x="410"/>
        <item x="286"/>
        <item x="490"/>
        <item x="287"/>
        <item x="843"/>
        <item x="170"/>
        <item x="491"/>
        <item x="411"/>
        <item x="921"/>
        <item x="922"/>
        <item x="844"/>
        <item x="85"/>
        <item x="923"/>
        <item x="171"/>
        <item x="288"/>
        <item x="492"/>
        <item x="493"/>
        <item x="86"/>
        <item x="289"/>
        <item x="756"/>
        <item x="924"/>
        <item x="172"/>
        <item x="494"/>
        <item x="925"/>
        <item x="173"/>
        <item x="495"/>
        <item x="412"/>
        <item x="27"/>
        <item x="87"/>
        <item x="496"/>
        <item x="174"/>
        <item x="88"/>
        <item x="497"/>
        <item x="89"/>
        <item x="990"/>
        <item x="498"/>
        <item x="926"/>
        <item x="90"/>
        <item x="499"/>
        <item x="655"/>
        <item x="175"/>
        <item x="290"/>
        <item x="656"/>
        <item x="291"/>
        <item x="413"/>
        <item x="657"/>
        <item x="927"/>
        <item x="292"/>
        <item x="293"/>
        <item x="414"/>
        <item x="500"/>
        <item x="501"/>
        <item x="91"/>
        <item x="502"/>
        <item x="658"/>
        <item x="845"/>
        <item x="28"/>
        <item x="757"/>
        <item x="659"/>
        <item x="294"/>
        <item x="991"/>
        <item x="295"/>
        <item x="503"/>
        <item x="415"/>
        <item x="928"/>
        <item x="176"/>
        <item x="504"/>
        <item x="505"/>
        <item x="92"/>
        <item x="758"/>
        <item x="846"/>
        <item x="660"/>
        <item x="29"/>
        <item x="416"/>
        <item x="30"/>
        <item x="661"/>
        <item x="506"/>
        <item x="847"/>
        <item x="507"/>
        <item x="848"/>
        <item x="929"/>
        <item x="930"/>
        <item x="177"/>
        <item x="931"/>
        <item x="932"/>
        <item x="417"/>
        <item x="178"/>
        <item x="662"/>
        <item x="179"/>
        <item x="933"/>
        <item x="508"/>
        <item x="296"/>
        <item x="759"/>
        <item x="509"/>
        <item x="849"/>
        <item x="418"/>
        <item x="93"/>
        <item x="934"/>
        <item x="663"/>
        <item x="180"/>
        <item x="181"/>
        <item x="510"/>
        <item x="664"/>
        <item x="419"/>
        <item x="182"/>
        <item x="31"/>
        <item x="665"/>
        <item x="850"/>
        <item x="511"/>
        <item x="666"/>
        <item x="667"/>
        <item x="94"/>
        <item x="760"/>
        <item x="32"/>
        <item x="33"/>
        <item x="668"/>
        <item x="669"/>
        <item x="297"/>
        <item x="935"/>
        <item x="761"/>
        <item x="851"/>
        <item x="298"/>
        <item x="512"/>
        <item x="513"/>
        <item x="852"/>
        <item x="514"/>
        <item x="670"/>
        <item x="515"/>
        <item x="183"/>
        <item x="95"/>
        <item x="936"/>
        <item x="937"/>
        <item x="938"/>
        <item x="516"/>
        <item x="853"/>
        <item x="34"/>
        <item x="299"/>
        <item x="517"/>
        <item x="518"/>
        <item x="300"/>
        <item x="939"/>
        <item x="519"/>
        <item x="35"/>
        <item x="301"/>
        <item x="520"/>
        <item x="302"/>
        <item x="303"/>
        <item x="304"/>
        <item x="184"/>
        <item x="854"/>
        <item x="521"/>
        <item x="305"/>
        <item x="306"/>
        <item x="307"/>
        <item x="36"/>
        <item x="308"/>
        <item x="522"/>
        <item x="96"/>
        <item x="37"/>
        <item x="523"/>
        <item x="762"/>
        <item x="763"/>
        <item x="185"/>
        <item x="671"/>
        <item x="97"/>
        <item x="940"/>
        <item x="524"/>
        <item x="525"/>
        <item x="941"/>
        <item x="38"/>
        <item x="672"/>
        <item x="39"/>
        <item x="309"/>
        <item x="855"/>
        <item x="942"/>
        <item x="98"/>
        <item x="943"/>
        <item x="856"/>
        <item x="186"/>
        <item x="992"/>
        <item x="526"/>
        <item x="673"/>
        <item x="857"/>
        <item x="310"/>
        <item x="858"/>
        <item x="311"/>
        <item x="674"/>
        <item x="187"/>
        <item x="675"/>
        <item x="527"/>
        <item x="993"/>
        <item x="764"/>
        <item x="859"/>
        <item x="40"/>
        <item x="188"/>
        <item x="99"/>
        <item x="41"/>
        <item x="528"/>
        <item x="312"/>
        <item x="765"/>
        <item x="766"/>
        <item x="860"/>
        <item x="100"/>
        <item x="767"/>
        <item x="420"/>
        <item x="421"/>
        <item x="313"/>
        <item x="861"/>
        <item x="101"/>
        <item x="768"/>
        <item x="314"/>
        <item x="529"/>
        <item x="315"/>
        <item x="189"/>
        <item x="944"/>
        <item x="945"/>
        <item x="946"/>
        <item x="190"/>
        <item x="530"/>
        <item x="191"/>
        <item x="42"/>
        <item x="531"/>
        <item x="862"/>
        <item x="947"/>
        <item x="769"/>
        <item x="532"/>
        <item x="422"/>
        <item x="423"/>
        <item x="948"/>
        <item x="863"/>
        <item x="533"/>
        <item x="316"/>
        <item x="317"/>
        <item x="676"/>
        <item x="770"/>
        <item x="102"/>
        <item x="192"/>
        <item x="771"/>
        <item x="318"/>
        <item x="319"/>
        <item x="949"/>
        <item x="950"/>
        <item x="320"/>
        <item x="534"/>
        <item x="321"/>
        <item x="535"/>
        <item x="43"/>
        <item x="677"/>
        <item x="103"/>
        <item x="322"/>
        <item x="323"/>
        <item x="864"/>
        <item x="772"/>
        <item x="536"/>
        <item x="193"/>
        <item x="537"/>
        <item x="324"/>
        <item x="424"/>
        <item x="538"/>
        <item x="539"/>
        <item x="104"/>
        <item x="194"/>
        <item x="325"/>
        <item x="195"/>
        <item x="678"/>
        <item x="679"/>
        <item x="196"/>
        <item x="773"/>
        <item x="774"/>
        <item x="865"/>
        <item x="680"/>
        <item x="681"/>
        <item x="197"/>
        <item x="866"/>
        <item x="326"/>
        <item x="682"/>
        <item x="867"/>
        <item x="868"/>
        <item x="951"/>
        <item x="105"/>
        <item x="198"/>
        <item x="540"/>
        <item x="683"/>
        <item x="541"/>
        <item x="869"/>
        <item x="952"/>
        <item x="44"/>
        <item x="327"/>
        <item x="542"/>
        <item x="199"/>
        <item x="328"/>
        <item x="329"/>
        <item x="870"/>
        <item x="330"/>
        <item x="543"/>
        <item x="106"/>
        <item x="331"/>
        <item x="871"/>
        <item x="775"/>
        <item x="684"/>
        <item x="872"/>
        <item x="544"/>
        <item x="685"/>
        <item x="545"/>
        <item x="953"/>
        <item x="107"/>
        <item x="686"/>
        <item x="200"/>
        <item x="873"/>
        <item x="874"/>
        <item x="546"/>
        <item x="201"/>
        <item x="954"/>
        <item x="547"/>
        <item x="108"/>
        <item x="109"/>
        <item x="776"/>
        <item x="45"/>
        <item x="687"/>
        <item x="777"/>
        <item x="688"/>
        <item x="778"/>
        <item x="332"/>
        <item x="202"/>
        <item x="548"/>
        <item x="955"/>
        <item x="549"/>
        <item x="46"/>
        <item x="550"/>
        <item x="994"/>
        <item x="203"/>
        <item x="204"/>
        <item x="110"/>
        <item x="205"/>
        <item x="333"/>
        <item x="779"/>
        <item x="956"/>
        <item x="780"/>
        <item x="551"/>
        <item x="781"/>
        <item x="689"/>
        <item x="552"/>
        <item x="334"/>
        <item x="206"/>
        <item x="335"/>
        <item x="875"/>
        <item x="995"/>
        <item x="876"/>
        <item x="336"/>
        <item x="782"/>
        <item x="111"/>
        <item x="783"/>
        <item x="690"/>
        <item x="112"/>
        <item x="337"/>
        <item x="113"/>
        <item x="877"/>
        <item x="957"/>
        <item x="878"/>
        <item x="47"/>
        <item x="114"/>
        <item x="338"/>
        <item x="48"/>
        <item x="784"/>
        <item x="49"/>
        <item x="207"/>
        <item x="553"/>
        <item x="691"/>
        <item x="879"/>
        <item x="115"/>
        <item x="425"/>
        <item x="692"/>
        <item x="958"/>
        <item x="554"/>
        <item x="426"/>
        <item x="959"/>
        <item x="339"/>
        <item x="693"/>
        <item x="208"/>
        <item x="694"/>
        <item x="209"/>
        <item x="695"/>
        <item x="116"/>
        <item x="880"/>
        <item x="881"/>
        <item x="555"/>
        <item x="117"/>
        <item x="785"/>
        <item x="50"/>
        <item x="340"/>
        <item x="341"/>
        <item x="556"/>
        <item x="786"/>
        <item x="427"/>
        <item x="428"/>
        <item x="696"/>
        <item x="210"/>
        <item x="342"/>
        <item x="211"/>
        <item x="557"/>
        <item x="343"/>
        <item x="787"/>
        <item x="960"/>
        <item x="558"/>
        <item x="788"/>
        <item x="212"/>
        <item x="213"/>
        <item x="789"/>
        <item x="790"/>
        <item x="559"/>
        <item x="560"/>
        <item x="791"/>
        <item x="118"/>
        <item x="119"/>
        <item x="214"/>
        <item x="697"/>
        <item x="561"/>
        <item x="344"/>
        <item x="51"/>
        <item x="562"/>
        <item x="961"/>
        <item x="120"/>
        <item x="882"/>
        <item x="962"/>
        <item x="698"/>
        <item x="883"/>
        <item x="792"/>
        <item x="429"/>
        <item x="563"/>
        <item x="215"/>
        <item x="52"/>
        <item x="996"/>
        <item x="564"/>
        <item x="121"/>
        <item x="565"/>
        <item x="216"/>
        <item x="53"/>
        <item x="566"/>
        <item x="699"/>
        <item x="430"/>
        <item x="963"/>
        <item x="345"/>
        <item x="122"/>
        <item x="884"/>
        <item x="567"/>
        <item x="568"/>
        <item x="431"/>
        <item x="964"/>
        <item x="217"/>
        <item x="793"/>
        <item x="346"/>
        <item x="123"/>
        <item x="218"/>
        <item x="794"/>
        <item x="54"/>
        <item x="569"/>
        <item x="347"/>
        <item x="55"/>
        <item x="795"/>
        <item x="219"/>
        <item x="796"/>
        <item x="797"/>
        <item x="220"/>
        <item x="348"/>
        <item x="570"/>
        <item x="349"/>
        <item x="700"/>
        <item x="350"/>
        <item x="56"/>
        <item x="997"/>
        <item x="571"/>
        <item x="572"/>
        <item x="221"/>
        <item x="701"/>
        <item x="57"/>
        <item x="222"/>
        <item x="124"/>
        <item x="223"/>
        <item x="702"/>
        <item x="224"/>
        <item x="125"/>
        <item x="432"/>
        <item x="126"/>
        <item x="998"/>
        <item x="225"/>
        <item x="351"/>
        <item x="703"/>
        <item x="352"/>
        <item x="226"/>
        <item x="704"/>
        <item x="965"/>
        <item x="433"/>
        <item x="353"/>
        <item x="705"/>
        <item x="354"/>
        <item x="573"/>
        <item x="227"/>
        <item x="574"/>
        <item x="575"/>
        <item x="228"/>
        <item x="58"/>
        <item x="966"/>
        <item x="59"/>
        <item x="355"/>
        <item x="576"/>
        <item x="798"/>
        <item x="434"/>
        <item x="706"/>
        <item x="229"/>
        <item x="60"/>
        <item x="230"/>
        <item x="885"/>
        <item x="435"/>
        <item x="127"/>
        <item x="799"/>
        <item x="356"/>
        <item x="967"/>
        <item x="800"/>
        <item x="357"/>
        <item x="436"/>
        <item x="577"/>
        <item x="707"/>
        <item x="578"/>
        <item x="579"/>
        <item x="231"/>
        <item x="580"/>
        <item x="886"/>
        <item x="61"/>
        <item x="128"/>
        <item x="62"/>
        <item x="437"/>
        <item x="232"/>
        <item x="801"/>
        <item x="63"/>
        <item x="358"/>
        <item x="233"/>
        <item x="581"/>
        <item x="582"/>
        <item x="359"/>
        <item x="583"/>
        <item x="360"/>
        <item x="802"/>
        <item x="361"/>
        <item x="708"/>
        <item x="584"/>
        <item x="968"/>
        <item x="585"/>
        <item x="586"/>
        <item x="709"/>
        <item x="362"/>
        <item x="587"/>
        <item x="588"/>
        <item x="234"/>
        <item x="589"/>
        <item x="590"/>
        <item x="887"/>
        <item x="969"/>
        <item x="363"/>
        <item x="710"/>
        <item x="64"/>
        <item x="65"/>
        <item x="66"/>
        <item x="438"/>
        <item x="711"/>
        <item x="591"/>
        <item x="712"/>
        <item x="235"/>
        <item x="592"/>
        <item x="593"/>
        <item x="888"/>
        <item x="236"/>
        <item x="364"/>
        <item x="594"/>
        <item x="713"/>
        <item x="889"/>
        <item x="595"/>
        <item x="67"/>
        <item x="596"/>
        <item x="597"/>
        <item x="803"/>
        <item x="68"/>
        <item x="365"/>
        <item x="714"/>
        <item x="890"/>
        <item x="439"/>
        <item x="598"/>
        <item x="237"/>
        <item x="129"/>
        <item x="238"/>
        <item x="239"/>
        <item x="599"/>
        <item x="600"/>
        <item x="715"/>
        <item x="440"/>
        <item x="999"/>
        <item x="891"/>
        <item x="601"/>
        <item x="441"/>
        <item x="130"/>
        <item x="131"/>
        <item x="892"/>
        <item x="716"/>
        <item x="240"/>
        <item x="602"/>
        <item x="970"/>
        <item x="603"/>
        <item x="971"/>
        <item x="804"/>
        <item x="805"/>
        <item x="69"/>
        <item x="132"/>
        <item x="717"/>
        <item x="442"/>
        <item x="806"/>
        <item x="807"/>
        <item x="443"/>
        <item x="366"/>
        <item x="972"/>
        <item x="133"/>
        <item x="973"/>
        <item x="444"/>
        <item x="367"/>
        <item x="808"/>
        <item x="604"/>
        <item x="445"/>
        <item x="893"/>
        <item x="446"/>
        <item x="718"/>
        <item x="605"/>
        <item x="974"/>
        <item x="719"/>
        <item x="134"/>
        <item x="606"/>
        <item x="241"/>
        <item x="975"/>
        <item x="447"/>
        <item x="368"/>
        <item x="369"/>
        <item x="607"/>
        <item x="135"/>
        <item x="70"/>
        <item x="976"/>
        <item x="809"/>
        <item x="608"/>
        <item x="609"/>
        <item x="894"/>
        <item x="977"/>
        <item x="370"/>
        <item x="610"/>
        <item x="978"/>
        <item x="810"/>
        <item x="371"/>
        <item x="720"/>
        <item x="811"/>
        <item x="372"/>
        <item x="373"/>
        <item x="812"/>
        <item x="374"/>
        <item x="979"/>
        <item x="242"/>
        <item x="611"/>
        <item x="136"/>
        <item x="813"/>
        <item x="375"/>
        <item x="612"/>
        <item x="376"/>
        <item x="377"/>
        <item x="378"/>
        <item x="613"/>
        <item x="448"/>
        <item x="243"/>
        <item x="614"/>
        <item x="615"/>
        <item x="71"/>
        <item x="814"/>
        <item x="721"/>
        <item x="722"/>
        <item x="244"/>
        <item x="379"/>
        <item x="815"/>
        <item x="723"/>
        <item x="895"/>
        <item x="980"/>
        <item x="380"/>
        <item x="72"/>
        <item x="981"/>
        <item x="816"/>
        <item x="982"/>
        <item x="381"/>
        <item x="896"/>
        <item x="245"/>
        <item x="382"/>
        <item x="724"/>
        <item x="383"/>
        <item x="616"/>
        <item x="246"/>
        <item x="137"/>
        <item x="617"/>
        <item x="618"/>
        <item x="247"/>
        <item x="983"/>
        <item x="449"/>
        <item x="897"/>
        <item x="984"/>
        <item x="248"/>
        <item x="249"/>
        <item x="250"/>
        <item x="384"/>
        <item x="450"/>
        <item x="985"/>
        <item x="619"/>
        <item x="385"/>
        <item x="817"/>
        <item x="818"/>
        <item x="386"/>
        <item x="251"/>
        <item x="725"/>
        <item x="138"/>
        <item x="819"/>
        <item x="620"/>
        <item x="820"/>
        <item x="451"/>
        <item x="726"/>
        <item x="621"/>
        <item x="387"/>
        <item x="727"/>
        <item x="898"/>
        <item t="default"/>
      </items>
    </pivotField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uenta de AlumnoID" fld="0" subtotal="count" baseField="3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F16D9-077E-4623-8596-FF8D0666FC59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F32" firstHeaderRow="1" firstDataRow="3" firstDataCol="1"/>
  <pivotFields count="8">
    <pivotField dataField="1" showAll="0" defaultSubtotal="0"/>
    <pivotField showAll="0" defaultSubtotal="0"/>
    <pivotField axis="axisCol" showAll="0" defaultSubtotal="0">
      <items count="4">
        <item x="1"/>
        <item x="3"/>
        <item x="0"/>
        <item x="2"/>
      </items>
    </pivotField>
    <pivotField axis="axisCol" showAll="0" defaultSubtotal="0">
      <items count="4">
        <item x="3"/>
        <item x="1"/>
        <item x="2"/>
        <item x="0"/>
      </items>
    </pivotField>
    <pivotField numFmtId="14" showAll="0" defaultSubtotal="0"/>
    <pivotField axis="axisRow" showAll="0" defaultSubtotal="0">
      <items count="4">
        <item x="0"/>
        <item x="3"/>
        <item x="1"/>
        <item x="2"/>
      </items>
    </pivotField>
    <pivotField showAll="0" defaultSubtotal="0"/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2"/>
  </colFields>
  <colItems count="5">
    <i>
      <x/>
      <x v="1"/>
    </i>
    <i>
      <x v="1"/>
      <x/>
    </i>
    <i>
      <x v="2"/>
      <x v="3"/>
    </i>
    <i>
      <x v="3"/>
      <x v="2"/>
    </i>
    <i t="grand">
      <x/>
    </i>
  </colItems>
  <dataFields count="1">
    <dataField name="Suma de AlumnoID" fld="0" baseField="5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AD07D-0632-4F2C-91A0-3D54FEC18B7E}" name="EstructuraEscolar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F22" firstHeaderRow="1" firstDataRow="3" firstDataCol="1" rowPageCount="1" colPageCount="1"/>
  <pivotFields count="6">
    <pivotField axis="axisPage" allDrilled="1" showAll="0" dataSourceSort="1" defaultSubtotal="0" defaultAttributeDrillState="1"/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Row" allDrilled="1" showAll="0" dataSourceSort="1" defaultSubtotal="0" defaultAttributeDrillState="1">
      <items count="3">
        <item x="0"/>
        <item x="1"/>
        <item x="2"/>
      </items>
    </pivotField>
    <pivotField axis="axisRow" allDrilled="1" showAll="0" dataSourceSort="1" defaultSubtotal="0" defaultAttributeDrillState="1">
      <items count="4">
        <item x="0"/>
        <item x="1"/>
        <item x="2"/>
        <item x="3"/>
      </items>
    </pivotField>
    <pivotField dataField="1" showAll="0" defaultSubtotal="0"/>
  </pivotFields>
  <rowFields count="2">
    <field x="3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2">
    <field x="2"/>
    <field x="1"/>
  </colFields>
  <colItems count="5">
    <i>
      <x/>
      <x/>
    </i>
    <i>
      <x v="1"/>
      <x v="1"/>
    </i>
    <i>
      <x v="2"/>
      <x v="2"/>
    </i>
    <i>
      <x v="3"/>
      <x v="3"/>
    </i>
    <i t="grand">
      <x/>
    </i>
  </colItems>
  <pageFields count="1">
    <pageField fld="0" hier="4" name="[VW_Alumnos_Normalizados].[AlumnoID].[All]" cap="All"/>
  </pageFields>
  <dataFields count="1">
    <dataField name="Promedio de PromedioHistorico" fld="5" subtotal="average" baseField="3" baseItem="0"/>
  </dataFields>
  <formats count="42">
    <format dxfId="64">
      <pivotArea grandRow="1" outline="0" collapsedLevelsAreSubtotals="1" fieldPosition="0"/>
    </format>
    <format dxfId="63">
      <pivotArea grandRow="1" outline="0" collapsedLevelsAreSubtotals="1" fieldPosition="0"/>
    </format>
    <format dxfId="62">
      <pivotArea grandRow="1" outline="0" collapsedLevelsAreSubtotals="1" fieldPosition="0"/>
    </format>
    <format dxfId="61">
      <pivotArea grandRow="1" outline="0" collapsedLevelsAreSubtotals="1" fieldPosition="0"/>
    </format>
    <format dxfId="60">
      <pivotArea outline="0" fieldPosition="0">
        <references count="1">
          <reference field="4294967294" count="1">
            <x v="0"/>
          </reference>
        </references>
      </pivotArea>
    </format>
    <format dxfId="59">
      <pivotArea type="all" dataOnly="0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2" type="button" dataOnly="0" labelOnly="1" outline="0" axis="axisCol" fieldPosition="0"/>
    </format>
    <format dxfId="54">
      <pivotArea field="1" type="button" dataOnly="0" labelOnly="1" outline="0" axis="axisCol" fieldPosition="1"/>
    </format>
    <format dxfId="53">
      <pivotArea type="topRight" dataOnly="0" labelOnly="1" outline="0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3" count="1" selected="0">
            <x v="0"/>
          </reference>
          <reference field="4" count="0"/>
        </references>
      </pivotArea>
    </format>
    <format dxfId="48">
      <pivotArea dataOnly="0" labelOnly="1" fieldPosition="0">
        <references count="2">
          <reference field="3" count="1" selected="0">
            <x v="1"/>
          </reference>
          <reference field="4" count="0"/>
        </references>
      </pivotArea>
    </format>
    <format dxfId="47">
      <pivotArea dataOnly="0" labelOnly="1" fieldPosition="0">
        <references count="2">
          <reference field="3" count="1" selected="0">
            <x v="2"/>
          </reference>
          <reference field="4" count="0"/>
        </references>
      </pivotArea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Col="1" outline="0" fieldPosition="0"/>
    </format>
    <format dxfId="44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43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42">
      <pivotArea dataOnly="0" labelOnly="1" fieldPosition="0">
        <references count="2">
          <reference field="1" count="1">
            <x v="2"/>
          </reference>
          <reference field="2" count="1" selected="0">
            <x v="2"/>
          </reference>
        </references>
      </pivotArea>
    </format>
    <format dxfId="41">
      <pivotArea dataOnly="0" labelOnly="1" fieldPosition="0">
        <references count="2">
          <reference field="1" count="1">
            <x v="3"/>
          </reference>
          <reference field="2" count="1" selected="0">
            <x v="3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2" type="button" dataOnly="0" labelOnly="1" outline="0" axis="axisCol" fieldPosition="0"/>
    </format>
    <format dxfId="36">
      <pivotArea field="1" type="button" dataOnly="0" labelOnly="1" outline="0" axis="axisCol" fieldPosition="1"/>
    </format>
    <format dxfId="35">
      <pivotArea type="topRight" dataOnly="0" labelOnly="1" outline="0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3" count="1" selected="0">
            <x v="0"/>
          </reference>
          <reference field="4" count="0"/>
        </references>
      </pivotArea>
    </format>
    <format dxfId="30">
      <pivotArea dataOnly="0" labelOnly="1" fieldPosition="0">
        <references count="2">
          <reference field="3" count="1" selected="0">
            <x v="1"/>
          </reference>
          <reference field="4" count="0"/>
        </references>
      </pivotArea>
    </format>
    <format dxfId="29">
      <pivotArea dataOnly="0" labelOnly="1" fieldPosition="0">
        <references count="2">
          <reference field="3" count="1" selected="0">
            <x v="2"/>
          </reference>
          <reference field="4" count="0"/>
        </references>
      </pivotArea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Col="1" outline="0" fieldPosition="0"/>
    </format>
    <format dxfId="26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25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4">
      <pivotArea dataOnly="0" labelOnly="1" fieldPosition="0">
        <references count="2">
          <reference field="1" count="1">
            <x v="2"/>
          </reference>
          <reference field="2" count="1" selected="0">
            <x v="2"/>
          </reference>
        </references>
      </pivotArea>
    </format>
    <format dxfId="23">
      <pivotArea dataOnly="0" labelOnly="1" fieldPosition="0">
        <references count="2">
          <reference field="1" count="1">
            <x v="3"/>
          </reference>
          <reference field="2" count="1" selected="0">
            <x v="3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medio de PromedioHistorico"/>
    <pivotHierarchy dragToData="1"/>
    <pivotHierarchy dragToData="1" caption="Recuento distinto de Carrera"/>
    <pivotHierarchy dragToData="1"/>
    <pivotHierarchy dragToData="1" caption="Recuento distinto de PromedioHistorico"/>
    <pivotHierarchy dragToData="1" caption="Mín. de PromedioHistorico"/>
  </pivotHierarchies>
  <pivotTableStyleInfo name="PivotStyleMedium6" showRowHeaders="1" showColHeaders="1" showRowStripes="1" showColStripes="1" showLastColumn="1"/>
  <rowHierarchiesUsage count="2">
    <rowHierarchyUsage hierarchyUsage="11"/>
    <rowHierarchyUsage hierarchyUsage="9"/>
  </rowHierarchiesUsage>
  <colHierarchiesUsage count="2">
    <colHierarchyUsage hierarchyUsage="7"/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Alumnos_Normaliz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0549BB0B-98BD-466C-BD8C-1E808E600D6A}" autoFormatId="16" applyNumberFormats="0" applyBorderFormats="0" applyFontFormats="0" applyPatternFormats="0" applyAlignmentFormats="0" applyWidthHeightFormats="0">
  <queryTableRefresh nextId="9">
    <queryTableFields count="8">
      <queryTableField id="1" name="AlumnoID" tableColumnId="1"/>
      <queryTableField id="2" name="Nombre" tableColumnId="2"/>
      <queryTableField id="3" name="Carrera" tableColumnId="3"/>
      <queryTableField id="4" name="Facultad" tableColumnId="4"/>
      <queryTableField id="5" name="FechaIngreso" tableColumnId="5"/>
      <queryTableField id="6" name="EstatusAcademico" tableColumnId="6"/>
      <queryTableField id="7" name="PromedioHistorico" tableColumnId="7"/>
      <queryTableField id="8" name="Generacion" tableColumnId="8"/>
    </queryTableFields>
  </queryTableRefresh>
  <extLst>
    <ext xmlns:x15="http://schemas.microsoft.com/office/spreadsheetml/2010/11/main" uri="{883FBD77-0823-4a55-B5E3-86C4891E6966}">
      <x15:queryTable sourceDataName="Consulta - VW_Alumnos_Normalizado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8758BB7E-1F08-4F6C-92C9-760C29D1F50B}" autoFormatId="16" applyNumberFormats="0" applyBorderFormats="0" applyFontFormats="0" applyPatternFormats="0" applyAlignmentFormats="0" applyWidthHeightFormats="0">
  <queryTableRefresh nextId="5">
    <queryTableFields count="4">
      <queryTableField id="1" name="DeptoID" tableColumnId="1"/>
      <queryTableField id="2" name="Nombre" tableColumnId="2"/>
      <queryTableField id="3" name="PresupuestoAnual" tableColumnId="3"/>
      <queryTableField id="4" name="CreatedAt" tableColumnId="4"/>
    </queryTableFields>
  </queryTableRefresh>
  <extLst>
    <ext xmlns:x15="http://schemas.microsoft.com/office/spreadsheetml/2010/11/main" uri="{883FBD77-0823-4a55-B5E3-86C4891E6966}">
      <x15:queryTable sourceDataName="Consulta - Departamento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895FC-B015-4460-9E4B-B5E6DAD822CA}" name="VW_Alumnos_Normalizados" displayName="VW_Alumnos_Normalizados" ref="A1:H1001" tableType="queryTable" totalsRowShown="0">
  <autoFilter ref="A1:H1001" xr:uid="{67A895FC-B015-4460-9E4B-B5E6DAD822CA}">
    <filterColumn colId="3">
      <filters>
        <filter val="Administración"/>
      </filters>
    </filterColumn>
  </autoFilter>
  <tableColumns count="8">
    <tableColumn id="1" xr3:uid="{38ACD11C-D1D5-4B79-BA9A-F12A58B1277D}" uniqueName="1" name="AlumnoID" queryTableFieldId="1"/>
    <tableColumn id="2" xr3:uid="{C0970185-10EC-42BF-AA0F-15B5D747A1DB}" uniqueName="2" name="Nombre" queryTableFieldId="2" dataDxfId="70"/>
    <tableColumn id="3" xr3:uid="{5D7F37E1-4EB2-4089-81DC-248910C27F52}" uniqueName="3" name="Carrera" queryTableFieldId="3" dataDxfId="69"/>
    <tableColumn id="4" xr3:uid="{9EEC78D5-8F8D-462E-B9E5-34477728736B}" uniqueName="4" name="Facultad" queryTableFieldId="4" dataDxfId="68"/>
    <tableColumn id="5" xr3:uid="{348B215B-1B6D-4382-B32F-362C50BC8130}" uniqueName="5" name="FechaIngreso" queryTableFieldId="5" dataDxfId="22"/>
    <tableColumn id="6" xr3:uid="{2D3A68A6-F8A8-4DAB-93FD-27F6E549E422}" uniqueName="6" name="EstatusAcademico" queryTableFieldId="6" dataDxfId="67"/>
    <tableColumn id="7" xr3:uid="{37D4695F-C139-4CA3-8395-C8A8890C52D6}" uniqueName="7" name="PromedioHistorico" queryTableFieldId="7"/>
    <tableColumn id="8" xr3:uid="{21E0A6F4-1479-4F59-8A73-A1DE790A73BF}" uniqueName="8" name="Generacion" queryTableField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13C586-79B9-466E-A029-7813978999D2}" name="Departamentos" displayName="Departamentos" ref="A1:D9" tableType="queryTable" totalsRowShown="0">
  <autoFilter ref="A1:D9" xr:uid="{E613C586-79B9-466E-A029-7813978999D2}"/>
  <tableColumns count="4">
    <tableColumn id="1" xr3:uid="{BF7BFF8F-F059-4E5F-B412-1FCBA2D6A7BB}" uniqueName="1" name="DeptoID" queryTableFieldId="1"/>
    <tableColumn id="2" xr3:uid="{4E56114E-4033-405E-85B5-CE679AFA35DB}" uniqueName="2" name="Nombre" queryTableFieldId="2" dataDxfId="66"/>
    <tableColumn id="3" xr3:uid="{848D32C1-D373-4558-9E5A-3429028C2BD0}" uniqueName="3" name="PresupuestoAnual" queryTableFieldId="3"/>
    <tableColumn id="4" xr3:uid="{6AD1F443-C43D-44FE-9846-775DF6BC98EC}" uniqueName="4" name="CreatedAt" queryTableFieldId="4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BF62-0B38-472C-96BA-8D296E630D88}">
  <sheetPr>
    <pageSetUpPr fitToPage="1"/>
  </sheetPr>
  <dimension ref="A1:H1001"/>
  <sheetViews>
    <sheetView workbookViewId="0">
      <selection activeCell="D9" sqref="D9"/>
    </sheetView>
  </sheetViews>
  <sheetFormatPr baseColWidth="10" defaultRowHeight="15" x14ac:dyDescent="0.25"/>
  <cols>
    <col min="1" max="1" width="12.140625" bestFit="1" customWidth="1"/>
    <col min="2" max="2" width="17.28515625" bestFit="1" customWidth="1"/>
    <col min="3" max="3" width="21" bestFit="1" customWidth="1"/>
    <col min="4" max="4" width="20.5703125" bestFit="1" customWidth="1"/>
    <col min="5" max="5" width="15" bestFit="1" customWidth="1"/>
    <col min="6" max="6" width="19.42578125" bestFit="1" customWidth="1"/>
    <col min="7" max="7" width="20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6</v>
      </c>
      <c r="B2" t="s">
        <v>8</v>
      </c>
      <c r="C2" t="s">
        <v>9</v>
      </c>
      <c r="D2" t="s">
        <v>10</v>
      </c>
      <c r="E2" s="1">
        <v>45686</v>
      </c>
      <c r="F2" t="s">
        <v>11</v>
      </c>
      <c r="G2">
        <v>75.31</v>
      </c>
      <c r="H2">
        <v>2025</v>
      </c>
    </row>
    <row r="3" spans="1:8" hidden="1" x14ac:dyDescent="0.25">
      <c r="A3">
        <v>19</v>
      </c>
      <c r="B3" t="s">
        <v>12</v>
      </c>
      <c r="C3" t="s">
        <v>9</v>
      </c>
      <c r="D3" t="s">
        <v>10</v>
      </c>
      <c r="E3" s="1">
        <v>45765</v>
      </c>
      <c r="F3" t="s">
        <v>11</v>
      </c>
      <c r="G3">
        <v>71.34</v>
      </c>
      <c r="H3">
        <v>2025</v>
      </c>
    </row>
    <row r="4" spans="1:8" hidden="1" x14ac:dyDescent="0.25">
      <c r="A4">
        <v>31</v>
      </c>
      <c r="B4" t="s">
        <v>13</v>
      </c>
      <c r="C4" t="s">
        <v>9</v>
      </c>
      <c r="D4" t="s">
        <v>10</v>
      </c>
      <c r="E4" s="1">
        <v>45738</v>
      </c>
      <c r="F4" t="s">
        <v>11</v>
      </c>
      <c r="G4">
        <v>96.19</v>
      </c>
      <c r="H4">
        <v>2025</v>
      </c>
    </row>
    <row r="5" spans="1:8" hidden="1" x14ac:dyDescent="0.25">
      <c r="A5">
        <v>39</v>
      </c>
      <c r="B5" t="s">
        <v>14</v>
      </c>
      <c r="C5" t="s">
        <v>9</v>
      </c>
      <c r="D5" t="s">
        <v>10</v>
      </c>
      <c r="E5" s="1">
        <v>45689</v>
      </c>
      <c r="F5" t="s">
        <v>11</v>
      </c>
      <c r="G5">
        <v>97.7</v>
      </c>
      <c r="H5">
        <v>2025</v>
      </c>
    </row>
    <row r="6" spans="1:8" hidden="1" x14ac:dyDescent="0.25">
      <c r="A6">
        <v>41</v>
      </c>
      <c r="B6" t="s">
        <v>15</v>
      </c>
      <c r="C6" t="s">
        <v>9</v>
      </c>
      <c r="D6" t="s">
        <v>10</v>
      </c>
      <c r="E6" s="1">
        <v>46018</v>
      </c>
      <c r="F6" t="s">
        <v>11</v>
      </c>
      <c r="G6">
        <v>94.11</v>
      </c>
      <c r="H6">
        <v>2025</v>
      </c>
    </row>
    <row r="7" spans="1:8" hidden="1" x14ac:dyDescent="0.25">
      <c r="A7">
        <v>44</v>
      </c>
      <c r="B7" t="s">
        <v>16</v>
      </c>
      <c r="C7" t="s">
        <v>9</v>
      </c>
      <c r="D7" t="s">
        <v>10</v>
      </c>
      <c r="E7" s="1">
        <v>45964</v>
      </c>
      <c r="F7" t="s">
        <v>11</v>
      </c>
      <c r="G7">
        <v>85.46</v>
      </c>
      <c r="H7">
        <v>2025</v>
      </c>
    </row>
    <row r="8" spans="1:8" hidden="1" x14ac:dyDescent="0.25">
      <c r="A8">
        <v>74</v>
      </c>
      <c r="B8" t="s">
        <v>17</v>
      </c>
      <c r="C8" t="s">
        <v>9</v>
      </c>
      <c r="D8" t="s">
        <v>10</v>
      </c>
      <c r="E8" s="1">
        <v>45930</v>
      </c>
      <c r="F8" t="s">
        <v>11</v>
      </c>
      <c r="G8">
        <v>81.09</v>
      </c>
      <c r="H8">
        <v>2025</v>
      </c>
    </row>
    <row r="9" spans="1:8" hidden="1" x14ac:dyDescent="0.25">
      <c r="A9">
        <v>81</v>
      </c>
      <c r="B9" t="s">
        <v>18</v>
      </c>
      <c r="C9" t="s">
        <v>9</v>
      </c>
      <c r="D9" t="s">
        <v>10</v>
      </c>
      <c r="E9" s="1">
        <v>46001</v>
      </c>
      <c r="F9" t="s">
        <v>11</v>
      </c>
      <c r="G9">
        <v>83.26</v>
      </c>
      <c r="H9">
        <v>2025</v>
      </c>
    </row>
    <row r="10" spans="1:8" hidden="1" x14ac:dyDescent="0.25">
      <c r="A10">
        <v>92</v>
      </c>
      <c r="B10" t="s">
        <v>19</v>
      </c>
      <c r="C10" t="s">
        <v>9</v>
      </c>
      <c r="D10" t="s">
        <v>10</v>
      </c>
      <c r="E10" s="1">
        <v>45929</v>
      </c>
      <c r="F10" t="s">
        <v>11</v>
      </c>
      <c r="G10">
        <v>98.79</v>
      </c>
      <c r="H10">
        <v>2025</v>
      </c>
    </row>
    <row r="11" spans="1:8" hidden="1" x14ac:dyDescent="0.25">
      <c r="A11">
        <v>146</v>
      </c>
      <c r="B11" t="s">
        <v>20</v>
      </c>
      <c r="C11" t="s">
        <v>9</v>
      </c>
      <c r="D11" t="s">
        <v>10</v>
      </c>
      <c r="E11" s="1">
        <v>45816</v>
      </c>
      <c r="F11" t="s">
        <v>11</v>
      </c>
      <c r="G11">
        <v>91</v>
      </c>
      <c r="H11">
        <v>2025</v>
      </c>
    </row>
    <row r="12" spans="1:8" hidden="1" x14ac:dyDescent="0.25">
      <c r="A12">
        <v>147</v>
      </c>
      <c r="B12" t="s">
        <v>21</v>
      </c>
      <c r="C12" t="s">
        <v>9</v>
      </c>
      <c r="D12" t="s">
        <v>10</v>
      </c>
      <c r="E12" s="1">
        <v>45961</v>
      </c>
      <c r="F12" t="s">
        <v>11</v>
      </c>
      <c r="G12">
        <v>86.1</v>
      </c>
      <c r="H12">
        <v>2025</v>
      </c>
    </row>
    <row r="13" spans="1:8" hidden="1" x14ac:dyDescent="0.25">
      <c r="A13">
        <v>158</v>
      </c>
      <c r="B13" t="s">
        <v>22</v>
      </c>
      <c r="C13" t="s">
        <v>9</v>
      </c>
      <c r="D13" t="s">
        <v>10</v>
      </c>
      <c r="E13" s="1">
        <v>45978</v>
      </c>
      <c r="F13" t="s">
        <v>11</v>
      </c>
      <c r="G13">
        <v>72.72</v>
      </c>
      <c r="H13">
        <v>2025</v>
      </c>
    </row>
    <row r="14" spans="1:8" hidden="1" x14ac:dyDescent="0.25">
      <c r="A14">
        <v>162</v>
      </c>
      <c r="B14" t="s">
        <v>23</v>
      </c>
      <c r="C14" t="s">
        <v>9</v>
      </c>
      <c r="D14" t="s">
        <v>10</v>
      </c>
      <c r="E14" s="1">
        <v>45920</v>
      </c>
      <c r="F14" t="s">
        <v>11</v>
      </c>
      <c r="G14">
        <v>99.68</v>
      </c>
      <c r="H14">
        <v>2025</v>
      </c>
    </row>
    <row r="15" spans="1:8" hidden="1" x14ac:dyDescent="0.25">
      <c r="A15">
        <v>168</v>
      </c>
      <c r="B15" t="s">
        <v>24</v>
      </c>
      <c r="C15" t="s">
        <v>9</v>
      </c>
      <c r="D15" t="s">
        <v>10</v>
      </c>
      <c r="E15" s="1">
        <v>45737</v>
      </c>
      <c r="F15" t="s">
        <v>11</v>
      </c>
      <c r="G15">
        <v>81.790000000000006</v>
      </c>
      <c r="H15">
        <v>2025</v>
      </c>
    </row>
    <row r="16" spans="1:8" hidden="1" x14ac:dyDescent="0.25">
      <c r="A16">
        <v>177</v>
      </c>
      <c r="B16" t="s">
        <v>25</v>
      </c>
      <c r="C16" t="s">
        <v>9</v>
      </c>
      <c r="D16" t="s">
        <v>10</v>
      </c>
      <c r="E16" s="1">
        <v>45828</v>
      </c>
      <c r="F16" t="s">
        <v>11</v>
      </c>
      <c r="G16">
        <v>99.74</v>
      </c>
      <c r="H16">
        <v>2025</v>
      </c>
    </row>
    <row r="17" spans="1:8" hidden="1" x14ac:dyDescent="0.25">
      <c r="A17">
        <v>179</v>
      </c>
      <c r="B17" t="s">
        <v>26</v>
      </c>
      <c r="C17" t="s">
        <v>9</v>
      </c>
      <c r="D17" t="s">
        <v>10</v>
      </c>
      <c r="E17" s="1">
        <v>46012</v>
      </c>
      <c r="F17" t="s">
        <v>11</v>
      </c>
      <c r="G17">
        <v>89.47</v>
      </c>
      <c r="H17">
        <v>2025</v>
      </c>
    </row>
    <row r="18" spans="1:8" hidden="1" x14ac:dyDescent="0.25">
      <c r="A18">
        <v>184</v>
      </c>
      <c r="B18" t="s">
        <v>27</v>
      </c>
      <c r="C18" t="s">
        <v>9</v>
      </c>
      <c r="D18" t="s">
        <v>10</v>
      </c>
      <c r="E18" s="1">
        <v>45867</v>
      </c>
      <c r="F18" t="s">
        <v>11</v>
      </c>
      <c r="G18">
        <v>96.06</v>
      </c>
      <c r="H18">
        <v>2025</v>
      </c>
    </row>
    <row r="19" spans="1:8" hidden="1" x14ac:dyDescent="0.25">
      <c r="A19">
        <v>189</v>
      </c>
      <c r="B19" t="s">
        <v>28</v>
      </c>
      <c r="C19" t="s">
        <v>9</v>
      </c>
      <c r="D19" t="s">
        <v>10</v>
      </c>
      <c r="E19" s="1">
        <v>45688</v>
      </c>
      <c r="F19" t="s">
        <v>11</v>
      </c>
      <c r="G19">
        <v>75.5</v>
      </c>
      <c r="H19">
        <v>2025</v>
      </c>
    </row>
    <row r="20" spans="1:8" hidden="1" x14ac:dyDescent="0.25">
      <c r="A20">
        <v>201</v>
      </c>
      <c r="B20" t="s">
        <v>29</v>
      </c>
      <c r="C20" t="s">
        <v>9</v>
      </c>
      <c r="D20" t="s">
        <v>10</v>
      </c>
      <c r="E20" s="1">
        <v>45674</v>
      </c>
      <c r="F20" t="s">
        <v>11</v>
      </c>
      <c r="G20">
        <v>96.52</v>
      </c>
      <c r="H20">
        <v>2025</v>
      </c>
    </row>
    <row r="21" spans="1:8" hidden="1" x14ac:dyDescent="0.25">
      <c r="A21">
        <v>227</v>
      </c>
      <c r="B21" t="s">
        <v>30</v>
      </c>
      <c r="C21" t="s">
        <v>9</v>
      </c>
      <c r="D21" t="s">
        <v>10</v>
      </c>
      <c r="E21" s="1">
        <v>45965</v>
      </c>
      <c r="F21" t="s">
        <v>11</v>
      </c>
      <c r="G21">
        <v>96.65</v>
      </c>
      <c r="H21">
        <v>2025</v>
      </c>
    </row>
    <row r="22" spans="1:8" hidden="1" x14ac:dyDescent="0.25">
      <c r="A22">
        <v>240</v>
      </c>
      <c r="B22" t="s">
        <v>31</v>
      </c>
      <c r="C22" t="s">
        <v>9</v>
      </c>
      <c r="D22" t="s">
        <v>10</v>
      </c>
      <c r="E22" s="1">
        <v>45721</v>
      </c>
      <c r="F22" t="s">
        <v>11</v>
      </c>
      <c r="G22">
        <v>86.35</v>
      </c>
      <c r="H22">
        <v>2025</v>
      </c>
    </row>
    <row r="23" spans="1:8" hidden="1" x14ac:dyDescent="0.25">
      <c r="A23">
        <v>244</v>
      </c>
      <c r="B23" t="s">
        <v>32</v>
      </c>
      <c r="C23" t="s">
        <v>9</v>
      </c>
      <c r="D23" t="s">
        <v>10</v>
      </c>
      <c r="E23" s="1">
        <v>45870</v>
      </c>
      <c r="F23" t="s">
        <v>11</v>
      </c>
      <c r="G23">
        <v>88.71</v>
      </c>
      <c r="H23">
        <v>2025</v>
      </c>
    </row>
    <row r="24" spans="1:8" hidden="1" x14ac:dyDescent="0.25">
      <c r="A24">
        <v>246</v>
      </c>
      <c r="B24" t="s">
        <v>33</v>
      </c>
      <c r="C24" t="s">
        <v>9</v>
      </c>
      <c r="D24" t="s">
        <v>10</v>
      </c>
      <c r="E24" s="1">
        <v>45756</v>
      </c>
      <c r="F24" t="s">
        <v>11</v>
      </c>
      <c r="G24">
        <v>89.25</v>
      </c>
      <c r="H24">
        <v>2025</v>
      </c>
    </row>
    <row r="25" spans="1:8" hidden="1" x14ac:dyDescent="0.25">
      <c r="A25">
        <v>251</v>
      </c>
      <c r="B25" t="s">
        <v>34</v>
      </c>
      <c r="C25" t="s">
        <v>9</v>
      </c>
      <c r="D25" t="s">
        <v>10</v>
      </c>
      <c r="E25" s="1">
        <v>45865</v>
      </c>
      <c r="F25" t="s">
        <v>11</v>
      </c>
      <c r="G25">
        <v>90.26</v>
      </c>
      <c r="H25">
        <v>2025</v>
      </c>
    </row>
    <row r="26" spans="1:8" hidden="1" x14ac:dyDescent="0.25">
      <c r="A26">
        <v>252</v>
      </c>
      <c r="B26" t="s">
        <v>35</v>
      </c>
      <c r="C26" t="s">
        <v>9</v>
      </c>
      <c r="D26" t="s">
        <v>10</v>
      </c>
      <c r="E26" s="1">
        <v>45685</v>
      </c>
      <c r="F26" t="s">
        <v>11</v>
      </c>
      <c r="G26">
        <v>78.849999999999994</v>
      </c>
      <c r="H26">
        <v>2025</v>
      </c>
    </row>
    <row r="27" spans="1:8" hidden="1" x14ac:dyDescent="0.25">
      <c r="A27">
        <v>260</v>
      </c>
      <c r="B27" t="s">
        <v>36</v>
      </c>
      <c r="C27" t="s">
        <v>9</v>
      </c>
      <c r="D27" t="s">
        <v>10</v>
      </c>
      <c r="E27" s="1">
        <v>45811</v>
      </c>
      <c r="F27" t="s">
        <v>11</v>
      </c>
      <c r="G27">
        <v>98.42</v>
      </c>
      <c r="H27">
        <v>2025</v>
      </c>
    </row>
    <row r="28" spans="1:8" hidden="1" x14ac:dyDescent="0.25">
      <c r="A28">
        <v>261</v>
      </c>
      <c r="B28" t="s">
        <v>37</v>
      </c>
      <c r="C28" t="s">
        <v>9</v>
      </c>
      <c r="D28" t="s">
        <v>10</v>
      </c>
      <c r="E28" s="1">
        <v>45671</v>
      </c>
      <c r="F28" t="s">
        <v>11</v>
      </c>
      <c r="G28">
        <v>96.99</v>
      </c>
      <c r="H28">
        <v>2025</v>
      </c>
    </row>
    <row r="29" spans="1:8" hidden="1" x14ac:dyDescent="0.25">
      <c r="A29">
        <v>301</v>
      </c>
      <c r="B29" t="s">
        <v>38</v>
      </c>
      <c r="C29" t="s">
        <v>9</v>
      </c>
      <c r="D29" t="s">
        <v>10</v>
      </c>
      <c r="E29" s="1">
        <v>45988</v>
      </c>
      <c r="F29" t="s">
        <v>11</v>
      </c>
      <c r="G29">
        <v>75.67</v>
      </c>
      <c r="H29">
        <v>2025</v>
      </c>
    </row>
    <row r="30" spans="1:8" hidden="1" x14ac:dyDescent="0.25">
      <c r="A30">
        <v>330</v>
      </c>
      <c r="B30" t="s">
        <v>39</v>
      </c>
      <c r="C30" t="s">
        <v>9</v>
      </c>
      <c r="D30" t="s">
        <v>10</v>
      </c>
      <c r="E30" s="1">
        <v>45766</v>
      </c>
      <c r="F30" t="s">
        <v>11</v>
      </c>
      <c r="G30">
        <v>94.29</v>
      </c>
      <c r="H30">
        <v>2025</v>
      </c>
    </row>
    <row r="31" spans="1:8" hidden="1" x14ac:dyDescent="0.25">
      <c r="A31">
        <v>346</v>
      </c>
      <c r="B31" t="s">
        <v>40</v>
      </c>
      <c r="C31" t="s">
        <v>9</v>
      </c>
      <c r="D31" t="s">
        <v>10</v>
      </c>
      <c r="E31" s="1">
        <v>45990</v>
      </c>
      <c r="F31" t="s">
        <v>11</v>
      </c>
      <c r="G31">
        <v>76.58</v>
      </c>
      <c r="H31">
        <v>2025</v>
      </c>
    </row>
    <row r="32" spans="1:8" hidden="1" x14ac:dyDescent="0.25">
      <c r="A32">
        <v>348</v>
      </c>
      <c r="B32" t="s">
        <v>41</v>
      </c>
      <c r="C32" t="s">
        <v>9</v>
      </c>
      <c r="D32" t="s">
        <v>10</v>
      </c>
      <c r="E32" s="1">
        <v>45837</v>
      </c>
      <c r="F32" t="s">
        <v>11</v>
      </c>
      <c r="G32">
        <v>77.83</v>
      </c>
      <c r="H32">
        <v>2025</v>
      </c>
    </row>
    <row r="33" spans="1:8" hidden="1" x14ac:dyDescent="0.25">
      <c r="A33">
        <v>379</v>
      </c>
      <c r="B33" t="s">
        <v>42</v>
      </c>
      <c r="C33" t="s">
        <v>9</v>
      </c>
      <c r="D33" t="s">
        <v>10</v>
      </c>
      <c r="E33" s="1">
        <v>45951</v>
      </c>
      <c r="F33" t="s">
        <v>11</v>
      </c>
      <c r="G33">
        <v>90.75</v>
      </c>
      <c r="H33">
        <v>2025</v>
      </c>
    </row>
    <row r="34" spans="1:8" hidden="1" x14ac:dyDescent="0.25">
      <c r="A34">
        <v>387</v>
      </c>
      <c r="B34" t="s">
        <v>43</v>
      </c>
      <c r="C34" t="s">
        <v>9</v>
      </c>
      <c r="D34" t="s">
        <v>10</v>
      </c>
      <c r="E34" s="1">
        <v>45707</v>
      </c>
      <c r="F34" t="s">
        <v>11</v>
      </c>
      <c r="G34">
        <v>86.44</v>
      </c>
      <c r="H34">
        <v>2025</v>
      </c>
    </row>
    <row r="35" spans="1:8" hidden="1" x14ac:dyDescent="0.25">
      <c r="A35">
        <v>388</v>
      </c>
      <c r="B35" t="s">
        <v>44</v>
      </c>
      <c r="C35" t="s">
        <v>9</v>
      </c>
      <c r="D35" t="s">
        <v>10</v>
      </c>
      <c r="E35" s="1">
        <v>45803</v>
      </c>
      <c r="F35" t="s">
        <v>11</v>
      </c>
      <c r="G35">
        <v>99.63</v>
      </c>
      <c r="H35">
        <v>2025</v>
      </c>
    </row>
    <row r="36" spans="1:8" hidden="1" x14ac:dyDescent="0.25">
      <c r="A36">
        <v>409</v>
      </c>
      <c r="B36" t="s">
        <v>45</v>
      </c>
      <c r="C36" t="s">
        <v>9</v>
      </c>
      <c r="D36" t="s">
        <v>10</v>
      </c>
      <c r="E36" s="1">
        <v>45973</v>
      </c>
      <c r="F36" t="s">
        <v>11</v>
      </c>
      <c r="G36">
        <v>90.49</v>
      </c>
      <c r="H36">
        <v>2025</v>
      </c>
    </row>
    <row r="37" spans="1:8" hidden="1" x14ac:dyDescent="0.25">
      <c r="A37">
        <v>416</v>
      </c>
      <c r="B37" t="s">
        <v>46</v>
      </c>
      <c r="C37" t="s">
        <v>9</v>
      </c>
      <c r="D37" t="s">
        <v>10</v>
      </c>
      <c r="E37" s="1">
        <v>46000</v>
      </c>
      <c r="F37" t="s">
        <v>11</v>
      </c>
      <c r="G37">
        <v>80.75</v>
      </c>
      <c r="H37">
        <v>2025</v>
      </c>
    </row>
    <row r="38" spans="1:8" hidden="1" x14ac:dyDescent="0.25">
      <c r="A38">
        <v>428</v>
      </c>
      <c r="B38" t="s">
        <v>47</v>
      </c>
      <c r="C38" t="s">
        <v>9</v>
      </c>
      <c r="D38" t="s">
        <v>10</v>
      </c>
      <c r="E38" s="1">
        <v>45964</v>
      </c>
      <c r="F38" t="s">
        <v>11</v>
      </c>
      <c r="G38">
        <v>87.73</v>
      </c>
      <c r="H38">
        <v>2025</v>
      </c>
    </row>
    <row r="39" spans="1:8" hidden="1" x14ac:dyDescent="0.25">
      <c r="A39">
        <v>432</v>
      </c>
      <c r="B39" t="s">
        <v>48</v>
      </c>
      <c r="C39" t="s">
        <v>9</v>
      </c>
      <c r="D39" t="s">
        <v>10</v>
      </c>
      <c r="E39" s="1">
        <v>45960</v>
      </c>
      <c r="F39" t="s">
        <v>11</v>
      </c>
      <c r="G39">
        <v>81.13</v>
      </c>
      <c r="H39">
        <v>2025</v>
      </c>
    </row>
    <row r="40" spans="1:8" hidden="1" x14ac:dyDescent="0.25">
      <c r="A40">
        <v>443</v>
      </c>
      <c r="B40" t="s">
        <v>49</v>
      </c>
      <c r="C40" t="s">
        <v>9</v>
      </c>
      <c r="D40" t="s">
        <v>10</v>
      </c>
      <c r="E40" s="1">
        <v>45681</v>
      </c>
      <c r="F40" t="s">
        <v>11</v>
      </c>
      <c r="G40">
        <v>99.37</v>
      </c>
      <c r="H40">
        <v>2025</v>
      </c>
    </row>
    <row r="41" spans="1:8" hidden="1" x14ac:dyDescent="0.25">
      <c r="A41">
        <v>445</v>
      </c>
      <c r="B41" t="s">
        <v>50</v>
      </c>
      <c r="C41" t="s">
        <v>9</v>
      </c>
      <c r="D41" t="s">
        <v>10</v>
      </c>
      <c r="E41" s="1">
        <v>45979</v>
      </c>
      <c r="F41" t="s">
        <v>11</v>
      </c>
      <c r="G41">
        <v>77.11</v>
      </c>
      <c r="H41">
        <v>2025</v>
      </c>
    </row>
    <row r="42" spans="1:8" hidden="1" x14ac:dyDescent="0.25">
      <c r="A42">
        <v>467</v>
      </c>
      <c r="B42" t="s">
        <v>51</v>
      </c>
      <c r="C42" t="s">
        <v>9</v>
      </c>
      <c r="D42" t="s">
        <v>10</v>
      </c>
      <c r="E42" s="1">
        <v>45709</v>
      </c>
      <c r="F42" t="s">
        <v>11</v>
      </c>
      <c r="G42">
        <v>74.819999999999993</v>
      </c>
      <c r="H42">
        <v>2025</v>
      </c>
    </row>
    <row r="43" spans="1:8" hidden="1" x14ac:dyDescent="0.25">
      <c r="A43">
        <v>470</v>
      </c>
      <c r="B43" t="s">
        <v>52</v>
      </c>
      <c r="C43" t="s">
        <v>9</v>
      </c>
      <c r="D43" t="s">
        <v>10</v>
      </c>
      <c r="E43" s="1">
        <v>45794</v>
      </c>
      <c r="F43" t="s">
        <v>11</v>
      </c>
      <c r="G43">
        <v>70.98</v>
      </c>
      <c r="H43">
        <v>2025</v>
      </c>
    </row>
    <row r="44" spans="1:8" hidden="1" x14ac:dyDescent="0.25">
      <c r="A44">
        <v>494</v>
      </c>
      <c r="B44" t="s">
        <v>53</v>
      </c>
      <c r="C44" t="s">
        <v>9</v>
      </c>
      <c r="D44" t="s">
        <v>10</v>
      </c>
      <c r="E44" s="1">
        <v>45750</v>
      </c>
      <c r="F44" t="s">
        <v>11</v>
      </c>
      <c r="G44">
        <v>71.92</v>
      </c>
      <c r="H44">
        <v>2025</v>
      </c>
    </row>
    <row r="45" spans="1:8" hidden="1" x14ac:dyDescent="0.25">
      <c r="A45">
        <v>520</v>
      </c>
      <c r="B45" t="s">
        <v>54</v>
      </c>
      <c r="C45" t="s">
        <v>9</v>
      </c>
      <c r="D45" t="s">
        <v>10</v>
      </c>
      <c r="E45" s="1">
        <v>45898</v>
      </c>
      <c r="F45" t="s">
        <v>11</v>
      </c>
      <c r="G45">
        <v>85.74</v>
      </c>
      <c r="H45">
        <v>2025</v>
      </c>
    </row>
    <row r="46" spans="1:8" hidden="1" x14ac:dyDescent="0.25">
      <c r="A46">
        <v>560</v>
      </c>
      <c r="B46" t="s">
        <v>55</v>
      </c>
      <c r="C46" t="s">
        <v>9</v>
      </c>
      <c r="D46" t="s">
        <v>10</v>
      </c>
      <c r="E46" s="1">
        <v>45951</v>
      </c>
      <c r="F46" t="s">
        <v>11</v>
      </c>
      <c r="G46">
        <v>80.28</v>
      </c>
      <c r="H46">
        <v>2025</v>
      </c>
    </row>
    <row r="47" spans="1:8" hidden="1" x14ac:dyDescent="0.25">
      <c r="A47">
        <v>591</v>
      </c>
      <c r="B47" t="s">
        <v>56</v>
      </c>
      <c r="C47" t="s">
        <v>9</v>
      </c>
      <c r="D47" t="s">
        <v>10</v>
      </c>
      <c r="E47" s="1">
        <v>45970</v>
      </c>
      <c r="F47" t="s">
        <v>11</v>
      </c>
      <c r="G47">
        <v>94.17</v>
      </c>
      <c r="H47">
        <v>2025</v>
      </c>
    </row>
    <row r="48" spans="1:8" hidden="1" x14ac:dyDescent="0.25">
      <c r="A48">
        <v>601</v>
      </c>
      <c r="B48" t="s">
        <v>57</v>
      </c>
      <c r="C48" t="s">
        <v>9</v>
      </c>
      <c r="D48" t="s">
        <v>10</v>
      </c>
      <c r="E48" s="1">
        <v>45899</v>
      </c>
      <c r="F48" t="s">
        <v>11</v>
      </c>
      <c r="G48">
        <v>75.59</v>
      </c>
      <c r="H48">
        <v>2025</v>
      </c>
    </row>
    <row r="49" spans="1:8" hidden="1" x14ac:dyDescent="0.25">
      <c r="A49">
        <v>633</v>
      </c>
      <c r="B49" t="s">
        <v>58</v>
      </c>
      <c r="C49" t="s">
        <v>9</v>
      </c>
      <c r="D49" t="s">
        <v>10</v>
      </c>
      <c r="E49" s="1">
        <v>45903</v>
      </c>
      <c r="F49" t="s">
        <v>11</v>
      </c>
      <c r="G49">
        <v>82.66</v>
      </c>
      <c r="H49">
        <v>2025</v>
      </c>
    </row>
    <row r="50" spans="1:8" hidden="1" x14ac:dyDescent="0.25">
      <c r="A50">
        <v>636</v>
      </c>
      <c r="B50" t="s">
        <v>59</v>
      </c>
      <c r="C50" t="s">
        <v>9</v>
      </c>
      <c r="D50" t="s">
        <v>10</v>
      </c>
      <c r="E50" s="1">
        <v>45909</v>
      </c>
      <c r="F50" t="s">
        <v>11</v>
      </c>
      <c r="G50">
        <v>99.3</v>
      </c>
      <c r="H50">
        <v>2025</v>
      </c>
    </row>
    <row r="51" spans="1:8" hidden="1" x14ac:dyDescent="0.25">
      <c r="A51">
        <v>638</v>
      </c>
      <c r="B51" t="s">
        <v>60</v>
      </c>
      <c r="C51" t="s">
        <v>9</v>
      </c>
      <c r="D51" t="s">
        <v>10</v>
      </c>
      <c r="E51" s="1">
        <v>45748</v>
      </c>
      <c r="F51" t="s">
        <v>11</v>
      </c>
      <c r="G51">
        <v>71.86</v>
      </c>
      <c r="H51">
        <v>2025</v>
      </c>
    </row>
    <row r="52" spans="1:8" hidden="1" x14ac:dyDescent="0.25">
      <c r="A52">
        <v>662</v>
      </c>
      <c r="B52" t="s">
        <v>61</v>
      </c>
      <c r="C52" t="s">
        <v>9</v>
      </c>
      <c r="D52" t="s">
        <v>10</v>
      </c>
      <c r="E52" s="1">
        <v>45869</v>
      </c>
      <c r="F52" t="s">
        <v>11</v>
      </c>
      <c r="G52">
        <v>87.92</v>
      </c>
      <c r="H52">
        <v>2025</v>
      </c>
    </row>
    <row r="53" spans="1:8" hidden="1" x14ac:dyDescent="0.25">
      <c r="A53">
        <v>692</v>
      </c>
      <c r="B53" t="s">
        <v>62</v>
      </c>
      <c r="C53" t="s">
        <v>9</v>
      </c>
      <c r="D53" t="s">
        <v>10</v>
      </c>
      <c r="E53" s="1">
        <v>45943</v>
      </c>
      <c r="F53" t="s">
        <v>11</v>
      </c>
      <c r="G53">
        <v>78.930000000000007</v>
      </c>
      <c r="H53">
        <v>2025</v>
      </c>
    </row>
    <row r="54" spans="1:8" hidden="1" x14ac:dyDescent="0.25">
      <c r="A54">
        <v>704</v>
      </c>
      <c r="B54" t="s">
        <v>63</v>
      </c>
      <c r="C54" t="s">
        <v>9</v>
      </c>
      <c r="D54" t="s">
        <v>10</v>
      </c>
      <c r="E54" s="1">
        <v>45992</v>
      </c>
      <c r="F54" t="s">
        <v>11</v>
      </c>
      <c r="G54">
        <v>95.4</v>
      </c>
      <c r="H54">
        <v>2025</v>
      </c>
    </row>
    <row r="55" spans="1:8" hidden="1" x14ac:dyDescent="0.25">
      <c r="A55">
        <v>710</v>
      </c>
      <c r="B55" t="s">
        <v>64</v>
      </c>
      <c r="C55" t="s">
        <v>9</v>
      </c>
      <c r="D55" t="s">
        <v>10</v>
      </c>
      <c r="E55" s="1">
        <v>45672</v>
      </c>
      <c r="F55" t="s">
        <v>11</v>
      </c>
      <c r="G55">
        <v>81.48</v>
      </c>
      <c r="H55">
        <v>2025</v>
      </c>
    </row>
    <row r="56" spans="1:8" hidden="1" x14ac:dyDescent="0.25">
      <c r="A56">
        <v>728</v>
      </c>
      <c r="B56" t="s">
        <v>65</v>
      </c>
      <c r="C56" t="s">
        <v>9</v>
      </c>
      <c r="D56" t="s">
        <v>10</v>
      </c>
      <c r="E56" s="1">
        <v>45702</v>
      </c>
      <c r="F56" t="s">
        <v>11</v>
      </c>
      <c r="G56">
        <v>84.69</v>
      </c>
      <c r="H56">
        <v>2025</v>
      </c>
    </row>
    <row r="57" spans="1:8" hidden="1" x14ac:dyDescent="0.25">
      <c r="A57">
        <v>731</v>
      </c>
      <c r="B57" t="s">
        <v>66</v>
      </c>
      <c r="C57" t="s">
        <v>9</v>
      </c>
      <c r="D57" t="s">
        <v>10</v>
      </c>
      <c r="E57" s="1">
        <v>46011</v>
      </c>
      <c r="F57" t="s">
        <v>11</v>
      </c>
      <c r="G57">
        <v>79.78</v>
      </c>
      <c r="H57">
        <v>2025</v>
      </c>
    </row>
    <row r="58" spans="1:8" hidden="1" x14ac:dyDescent="0.25">
      <c r="A58">
        <v>742</v>
      </c>
      <c r="B58" t="s">
        <v>67</v>
      </c>
      <c r="C58" t="s">
        <v>9</v>
      </c>
      <c r="D58" t="s">
        <v>10</v>
      </c>
      <c r="E58" s="1">
        <v>45750</v>
      </c>
      <c r="F58" t="s">
        <v>11</v>
      </c>
      <c r="G58">
        <v>92.25</v>
      </c>
      <c r="H58">
        <v>2025</v>
      </c>
    </row>
    <row r="59" spans="1:8" hidden="1" x14ac:dyDescent="0.25">
      <c r="A59">
        <v>748</v>
      </c>
      <c r="B59" t="s">
        <v>68</v>
      </c>
      <c r="C59" t="s">
        <v>9</v>
      </c>
      <c r="D59" t="s">
        <v>10</v>
      </c>
      <c r="E59" s="1">
        <v>45949</v>
      </c>
      <c r="F59" t="s">
        <v>11</v>
      </c>
      <c r="G59">
        <v>94.32</v>
      </c>
      <c r="H59">
        <v>2025</v>
      </c>
    </row>
    <row r="60" spans="1:8" hidden="1" x14ac:dyDescent="0.25">
      <c r="A60">
        <v>774</v>
      </c>
      <c r="B60" t="s">
        <v>69</v>
      </c>
      <c r="C60" t="s">
        <v>9</v>
      </c>
      <c r="D60" t="s">
        <v>10</v>
      </c>
      <c r="E60" s="1">
        <v>45967</v>
      </c>
      <c r="F60" t="s">
        <v>11</v>
      </c>
      <c r="G60">
        <v>90.08</v>
      </c>
      <c r="H60">
        <v>2025</v>
      </c>
    </row>
    <row r="61" spans="1:8" hidden="1" x14ac:dyDescent="0.25">
      <c r="A61">
        <v>776</v>
      </c>
      <c r="B61" t="s">
        <v>70</v>
      </c>
      <c r="C61" t="s">
        <v>9</v>
      </c>
      <c r="D61" t="s">
        <v>10</v>
      </c>
      <c r="E61" s="1">
        <v>46021</v>
      </c>
      <c r="F61" t="s">
        <v>11</v>
      </c>
      <c r="G61">
        <v>89.84</v>
      </c>
      <c r="H61">
        <v>2025</v>
      </c>
    </row>
    <row r="62" spans="1:8" hidden="1" x14ac:dyDescent="0.25">
      <c r="A62">
        <v>783</v>
      </c>
      <c r="B62" t="s">
        <v>71</v>
      </c>
      <c r="C62" t="s">
        <v>9</v>
      </c>
      <c r="D62" t="s">
        <v>10</v>
      </c>
      <c r="E62" s="1">
        <v>45983</v>
      </c>
      <c r="F62" t="s">
        <v>11</v>
      </c>
      <c r="G62">
        <v>91.43</v>
      </c>
      <c r="H62">
        <v>2025</v>
      </c>
    </row>
    <row r="63" spans="1:8" hidden="1" x14ac:dyDescent="0.25">
      <c r="A63">
        <v>801</v>
      </c>
      <c r="B63" t="s">
        <v>72</v>
      </c>
      <c r="C63" t="s">
        <v>9</v>
      </c>
      <c r="D63" t="s">
        <v>10</v>
      </c>
      <c r="E63" s="1">
        <v>45676</v>
      </c>
      <c r="F63" t="s">
        <v>11</v>
      </c>
      <c r="G63">
        <v>90.91</v>
      </c>
      <c r="H63">
        <v>2025</v>
      </c>
    </row>
    <row r="64" spans="1:8" hidden="1" x14ac:dyDescent="0.25">
      <c r="A64">
        <v>803</v>
      </c>
      <c r="B64" t="s">
        <v>73</v>
      </c>
      <c r="C64" t="s">
        <v>9</v>
      </c>
      <c r="D64" t="s">
        <v>10</v>
      </c>
      <c r="E64" s="1">
        <v>45691</v>
      </c>
      <c r="F64" t="s">
        <v>11</v>
      </c>
      <c r="G64">
        <v>84.96</v>
      </c>
      <c r="H64">
        <v>2025</v>
      </c>
    </row>
    <row r="65" spans="1:8" hidden="1" x14ac:dyDescent="0.25">
      <c r="A65">
        <v>807</v>
      </c>
      <c r="B65" t="s">
        <v>74</v>
      </c>
      <c r="C65" t="s">
        <v>9</v>
      </c>
      <c r="D65" t="s">
        <v>10</v>
      </c>
      <c r="E65" s="1">
        <v>46019</v>
      </c>
      <c r="F65" t="s">
        <v>11</v>
      </c>
      <c r="G65">
        <v>88.98</v>
      </c>
      <c r="H65">
        <v>2025</v>
      </c>
    </row>
    <row r="66" spans="1:8" hidden="1" x14ac:dyDescent="0.25">
      <c r="A66">
        <v>833</v>
      </c>
      <c r="B66" t="s">
        <v>75</v>
      </c>
      <c r="C66" t="s">
        <v>9</v>
      </c>
      <c r="D66" t="s">
        <v>10</v>
      </c>
      <c r="E66" s="1">
        <v>45965</v>
      </c>
      <c r="F66" t="s">
        <v>11</v>
      </c>
      <c r="G66">
        <v>76.34</v>
      </c>
      <c r="H66">
        <v>2025</v>
      </c>
    </row>
    <row r="67" spans="1:8" hidden="1" x14ac:dyDescent="0.25">
      <c r="A67">
        <v>834</v>
      </c>
      <c r="B67" t="s">
        <v>76</v>
      </c>
      <c r="C67" t="s">
        <v>9</v>
      </c>
      <c r="D67" t="s">
        <v>10</v>
      </c>
      <c r="E67" s="1">
        <v>45841</v>
      </c>
      <c r="F67" t="s">
        <v>11</v>
      </c>
      <c r="G67">
        <v>99.01</v>
      </c>
      <c r="H67">
        <v>2025</v>
      </c>
    </row>
    <row r="68" spans="1:8" hidden="1" x14ac:dyDescent="0.25">
      <c r="A68">
        <v>835</v>
      </c>
      <c r="B68" t="s">
        <v>77</v>
      </c>
      <c r="C68" t="s">
        <v>9</v>
      </c>
      <c r="D68" t="s">
        <v>10</v>
      </c>
      <c r="E68" s="1">
        <v>45747</v>
      </c>
      <c r="F68" t="s">
        <v>11</v>
      </c>
      <c r="G68">
        <v>75.760000000000005</v>
      </c>
      <c r="H68">
        <v>2025</v>
      </c>
    </row>
    <row r="69" spans="1:8" hidden="1" x14ac:dyDescent="0.25">
      <c r="A69">
        <v>850</v>
      </c>
      <c r="B69" t="s">
        <v>78</v>
      </c>
      <c r="C69" t="s">
        <v>9</v>
      </c>
      <c r="D69" t="s">
        <v>10</v>
      </c>
      <c r="E69" s="1">
        <v>46001</v>
      </c>
      <c r="F69" t="s">
        <v>11</v>
      </c>
      <c r="G69">
        <v>88.25</v>
      </c>
      <c r="H69">
        <v>2025</v>
      </c>
    </row>
    <row r="70" spans="1:8" hidden="1" x14ac:dyDescent="0.25">
      <c r="A70">
        <v>854</v>
      </c>
      <c r="B70" t="s">
        <v>79</v>
      </c>
      <c r="C70" t="s">
        <v>9</v>
      </c>
      <c r="D70" t="s">
        <v>10</v>
      </c>
      <c r="E70" s="1">
        <v>45688</v>
      </c>
      <c r="F70" t="s">
        <v>11</v>
      </c>
      <c r="G70">
        <v>86.55</v>
      </c>
      <c r="H70">
        <v>2025</v>
      </c>
    </row>
    <row r="71" spans="1:8" hidden="1" x14ac:dyDescent="0.25">
      <c r="A71">
        <v>883</v>
      </c>
      <c r="B71" t="s">
        <v>80</v>
      </c>
      <c r="C71" t="s">
        <v>9</v>
      </c>
      <c r="D71" t="s">
        <v>10</v>
      </c>
      <c r="E71" s="1">
        <v>45930</v>
      </c>
      <c r="F71" t="s">
        <v>11</v>
      </c>
      <c r="G71">
        <v>93.4</v>
      </c>
      <c r="H71">
        <v>2025</v>
      </c>
    </row>
    <row r="72" spans="1:8" hidden="1" x14ac:dyDescent="0.25">
      <c r="A72">
        <v>914</v>
      </c>
      <c r="B72" t="s">
        <v>81</v>
      </c>
      <c r="C72" t="s">
        <v>9</v>
      </c>
      <c r="D72" t="s">
        <v>10</v>
      </c>
      <c r="E72" s="1">
        <v>45743</v>
      </c>
      <c r="F72" t="s">
        <v>11</v>
      </c>
      <c r="G72">
        <v>76.67</v>
      </c>
      <c r="H72">
        <v>2025</v>
      </c>
    </row>
    <row r="73" spans="1:8" hidden="1" x14ac:dyDescent="0.25">
      <c r="A73">
        <v>947</v>
      </c>
      <c r="B73" t="s">
        <v>82</v>
      </c>
      <c r="C73" t="s">
        <v>9</v>
      </c>
      <c r="D73" t="s">
        <v>10</v>
      </c>
      <c r="E73" s="1">
        <v>45698</v>
      </c>
      <c r="F73" t="s">
        <v>11</v>
      </c>
      <c r="G73">
        <v>74.349999999999994</v>
      </c>
      <c r="H73">
        <v>2025</v>
      </c>
    </row>
    <row r="74" spans="1:8" hidden="1" x14ac:dyDescent="0.25">
      <c r="A74">
        <v>958</v>
      </c>
      <c r="B74" t="s">
        <v>83</v>
      </c>
      <c r="C74" t="s">
        <v>9</v>
      </c>
      <c r="D74" t="s">
        <v>10</v>
      </c>
      <c r="E74" s="1">
        <v>45925</v>
      </c>
      <c r="F74" t="s">
        <v>11</v>
      </c>
      <c r="G74">
        <v>80.239999999999995</v>
      </c>
      <c r="H74">
        <v>2025</v>
      </c>
    </row>
    <row r="75" spans="1:8" hidden="1" x14ac:dyDescent="0.25">
      <c r="A75">
        <v>61</v>
      </c>
      <c r="B75" t="s">
        <v>84</v>
      </c>
      <c r="C75" t="s">
        <v>85</v>
      </c>
      <c r="D75" t="s">
        <v>86</v>
      </c>
      <c r="E75" s="1">
        <v>45771</v>
      </c>
      <c r="F75" t="s">
        <v>11</v>
      </c>
      <c r="G75">
        <v>79.3</v>
      </c>
      <c r="H75">
        <v>2025</v>
      </c>
    </row>
    <row r="76" spans="1:8" hidden="1" x14ac:dyDescent="0.25">
      <c r="A76">
        <v>66</v>
      </c>
      <c r="B76" t="s">
        <v>87</v>
      </c>
      <c r="C76" t="s">
        <v>85</v>
      </c>
      <c r="D76" t="s">
        <v>86</v>
      </c>
      <c r="E76" s="1">
        <v>45781</v>
      </c>
      <c r="F76" t="s">
        <v>11</v>
      </c>
      <c r="G76">
        <v>87.11</v>
      </c>
      <c r="H76">
        <v>2025</v>
      </c>
    </row>
    <row r="77" spans="1:8" hidden="1" x14ac:dyDescent="0.25">
      <c r="A77">
        <v>68</v>
      </c>
      <c r="B77" t="s">
        <v>88</v>
      </c>
      <c r="C77" t="s">
        <v>85</v>
      </c>
      <c r="D77" t="s">
        <v>86</v>
      </c>
      <c r="E77" s="1">
        <v>45659</v>
      </c>
      <c r="F77" t="s">
        <v>11</v>
      </c>
      <c r="G77">
        <v>90.2</v>
      </c>
      <c r="H77">
        <v>2025</v>
      </c>
    </row>
    <row r="78" spans="1:8" hidden="1" x14ac:dyDescent="0.25">
      <c r="A78">
        <v>77</v>
      </c>
      <c r="B78" t="s">
        <v>89</v>
      </c>
      <c r="C78" t="s">
        <v>85</v>
      </c>
      <c r="D78" t="s">
        <v>86</v>
      </c>
      <c r="E78" s="1">
        <v>45666</v>
      </c>
      <c r="F78" t="s">
        <v>11</v>
      </c>
      <c r="G78">
        <v>70.069999999999993</v>
      </c>
      <c r="H78">
        <v>2025</v>
      </c>
    </row>
    <row r="79" spans="1:8" hidden="1" x14ac:dyDescent="0.25">
      <c r="A79">
        <v>97</v>
      </c>
      <c r="B79" t="s">
        <v>90</v>
      </c>
      <c r="C79" t="s">
        <v>85</v>
      </c>
      <c r="D79" t="s">
        <v>86</v>
      </c>
      <c r="E79" s="1">
        <v>45903</v>
      </c>
      <c r="F79" t="s">
        <v>11</v>
      </c>
      <c r="G79">
        <v>70.62</v>
      </c>
      <c r="H79">
        <v>2025</v>
      </c>
    </row>
    <row r="80" spans="1:8" hidden="1" x14ac:dyDescent="0.25">
      <c r="A80">
        <v>124</v>
      </c>
      <c r="B80" t="s">
        <v>91</v>
      </c>
      <c r="C80" t="s">
        <v>85</v>
      </c>
      <c r="D80" t="s">
        <v>86</v>
      </c>
      <c r="E80" s="1">
        <v>45896</v>
      </c>
      <c r="F80" t="s">
        <v>11</v>
      </c>
      <c r="G80">
        <v>70.11</v>
      </c>
      <c r="H80">
        <v>2025</v>
      </c>
    </row>
    <row r="81" spans="1:8" hidden="1" x14ac:dyDescent="0.25">
      <c r="A81">
        <v>153</v>
      </c>
      <c r="B81" t="s">
        <v>92</v>
      </c>
      <c r="C81" t="s">
        <v>85</v>
      </c>
      <c r="D81" t="s">
        <v>86</v>
      </c>
      <c r="E81" s="1">
        <v>45938</v>
      </c>
      <c r="F81" t="s">
        <v>11</v>
      </c>
      <c r="G81">
        <v>78.959999999999994</v>
      </c>
      <c r="H81">
        <v>2025</v>
      </c>
    </row>
    <row r="82" spans="1:8" hidden="1" x14ac:dyDescent="0.25">
      <c r="A82">
        <v>155</v>
      </c>
      <c r="B82" t="s">
        <v>93</v>
      </c>
      <c r="C82" t="s">
        <v>85</v>
      </c>
      <c r="D82" t="s">
        <v>86</v>
      </c>
      <c r="E82" s="1">
        <v>45934</v>
      </c>
      <c r="F82" t="s">
        <v>11</v>
      </c>
      <c r="G82">
        <v>94.3</v>
      </c>
      <c r="H82">
        <v>2025</v>
      </c>
    </row>
    <row r="83" spans="1:8" hidden="1" x14ac:dyDescent="0.25">
      <c r="A83">
        <v>166</v>
      </c>
      <c r="B83" t="s">
        <v>94</v>
      </c>
      <c r="C83" t="s">
        <v>85</v>
      </c>
      <c r="D83" t="s">
        <v>86</v>
      </c>
      <c r="E83" s="1">
        <v>45791</v>
      </c>
      <c r="F83" t="s">
        <v>11</v>
      </c>
      <c r="G83">
        <v>87.67</v>
      </c>
      <c r="H83">
        <v>2025</v>
      </c>
    </row>
    <row r="84" spans="1:8" hidden="1" x14ac:dyDescent="0.25">
      <c r="A84">
        <v>172</v>
      </c>
      <c r="B84" t="s">
        <v>95</v>
      </c>
      <c r="C84" t="s">
        <v>85</v>
      </c>
      <c r="D84" t="s">
        <v>86</v>
      </c>
      <c r="E84" s="1">
        <v>45727</v>
      </c>
      <c r="F84" t="s">
        <v>11</v>
      </c>
      <c r="G84">
        <v>90.62</v>
      </c>
      <c r="H84">
        <v>2025</v>
      </c>
    </row>
    <row r="85" spans="1:8" hidden="1" x14ac:dyDescent="0.25">
      <c r="A85">
        <v>196</v>
      </c>
      <c r="B85" t="s">
        <v>96</v>
      </c>
      <c r="C85" t="s">
        <v>85</v>
      </c>
      <c r="D85" t="s">
        <v>86</v>
      </c>
      <c r="E85" s="1">
        <v>45696</v>
      </c>
      <c r="F85" t="s">
        <v>11</v>
      </c>
      <c r="G85">
        <v>76.680000000000007</v>
      </c>
      <c r="H85">
        <v>2025</v>
      </c>
    </row>
    <row r="86" spans="1:8" hidden="1" x14ac:dyDescent="0.25">
      <c r="A86">
        <v>265</v>
      </c>
      <c r="B86" t="s">
        <v>97</v>
      </c>
      <c r="C86" t="s">
        <v>85</v>
      </c>
      <c r="D86" t="s">
        <v>86</v>
      </c>
      <c r="E86" s="1">
        <v>46012</v>
      </c>
      <c r="F86" t="s">
        <v>11</v>
      </c>
      <c r="G86">
        <v>98.28</v>
      </c>
      <c r="H86">
        <v>2025</v>
      </c>
    </row>
    <row r="87" spans="1:8" hidden="1" x14ac:dyDescent="0.25">
      <c r="A87">
        <v>285</v>
      </c>
      <c r="B87" t="s">
        <v>98</v>
      </c>
      <c r="C87" t="s">
        <v>85</v>
      </c>
      <c r="D87" t="s">
        <v>86</v>
      </c>
      <c r="E87" s="1">
        <v>45769</v>
      </c>
      <c r="F87" t="s">
        <v>11</v>
      </c>
      <c r="G87">
        <v>92.3</v>
      </c>
      <c r="H87">
        <v>2025</v>
      </c>
    </row>
    <row r="88" spans="1:8" hidden="1" x14ac:dyDescent="0.25">
      <c r="A88">
        <v>291</v>
      </c>
      <c r="B88" t="s">
        <v>99</v>
      </c>
      <c r="C88" t="s">
        <v>85</v>
      </c>
      <c r="D88" t="s">
        <v>86</v>
      </c>
      <c r="E88" s="1">
        <v>45808</v>
      </c>
      <c r="F88" t="s">
        <v>11</v>
      </c>
      <c r="G88">
        <v>83.98</v>
      </c>
      <c r="H88">
        <v>2025</v>
      </c>
    </row>
    <row r="89" spans="1:8" hidden="1" x14ac:dyDescent="0.25">
      <c r="A89">
        <v>302</v>
      </c>
      <c r="B89" t="s">
        <v>100</v>
      </c>
      <c r="C89" t="s">
        <v>85</v>
      </c>
      <c r="D89" t="s">
        <v>86</v>
      </c>
      <c r="E89" s="1">
        <v>45943</v>
      </c>
      <c r="F89" t="s">
        <v>11</v>
      </c>
      <c r="G89">
        <v>84.03</v>
      </c>
      <c r="H89">
        <v>2025</v>
      </c>
    </row>
    <row r="90" spans="1:8" hidden="1" x14ac:dyDescent="0.25">
      <c r="A90">
        <v>305</v>
      </c>
      <c r="B90" t="s">
        <v>101</v>
      </c>
      <c r="C90" t="s">
        <v>85</v>
      </c>
      <c r="D90" t="s">
        <v>86</v>
      </c>
      <c r="E90" s="1">
        <v>45693</v>
      </c>
      <c r="F90" t="s">
        <v>11</v>
      </c>
      <c r="G90">
        <v>95</v>
      </c>
      <c r="H90">
        <v>2025</v>
      </c>
    </row>
    <row r="91" spans="1:8" hidden="1" x14ac:dyDescent="0.25">
      <c r="A91">
        <v>307</v>
      </c>
      <c r="B91" t="s">
        <v>102</v>
      </c>
      <c r="C91" t="s">
        <v>85</v>
      </c>
      <c r="D91" t="s">
        <v>86</v>
      </c>
      <c r="E91" s="1">
        <v>45999</v>
      </c>
      <c r="F91" t="s">
        <v>11</v>
      </c>
      <c r="G91">
        <v>92.94</v>
      </c>
      <c r="H91">
        <v>2025</v>
      </c>
    </row>
    <row r="92" spans="1:8" hidden="1" x14ac:dyDescent="0.25">
      <c r="A92">
        <v>311</v>
      </c>
      <c r="B92" t="s">
        <v>103</v>
      </c>
      <c r="C92" t="s">
        <v>85</v>
      </c>
      <c r="D92" t="s">
        <v>86</v>
      </c>
      <c r="E92" s="1">
        <v>45921</v>
      </c>
      <c r="F92" t="s">
        <v>11</v>
      </c>
      <c r="G92">
        <v>97.74</v>
      </c>
      <c r="H92">
        <v>2025</v>
      </c>
    </row>
    <row r="93" spans="1:8" hidden="1" x14ac:dyDescent="0.25">
      <c r="A93">
        <v>326</v>
      </c>
      <c r="B93" t="s">
        <v>104</v>
      </c>
      <c r="C93" t="s">
        <v>85</v>
      </c>
      <c r="D93" t="s">
        <v>86</v>
      </c>
      <c r="E93" s="1">
        <v>45954</v>
      </c>
      <c r="F93" t="s">
        <v>11</v>
      </c>
      <c r="G93">
        <v>81.819999999999993</v>
      </c>
      <c r="H93">
        <v>2025</v>
      </c>
    </row>
    <row r="94" spans="1:8" hidden="1" x14ac:dyDescent="0.25">
      <c r="A94">
        <v>342</v>
      </c>
      <c r="B94" t="s">
        <v>105</v>
      </c>
      <c r="C94" t="s">
        <v>85</v>
      </c>
      <c r="D94" t="s">
        <v>86</v>
      </c>
      <c r="E94" s="1">
        <v>45750</v>
      </c>
      <c r="F94" t="s">
        <v>11</v>
      </c>
      <c r="G94">
        <v>87.05</v>
      </c>
      <c r="H94">
        <v>2025</v>
      </c>
    </row>
    <row r="95" spans="1:8" hidden="1" x14ac:dyDescent="0.25">
      <c r="A95">
        <v>370</v>
      </c>
      <c r="B95" t="s">
        <v>106</v>
      </c>
      <c r="C95" t="s">
        <v>85</v>
      </c>
      <c r="D95" t="s">
        <v>86</v>
      </c>
      <c r="E95" s="1">
        <v>45788</v>
      </c>
      <c r="F95" t="s">
        <v>11</v>
      </c>
      <c r="G95">
        <v>87.86</v>
      </c>
      <c r="H95">
        <v>2025</v>
      </c>
    </row>
    <row r="96" spans="1:8" hidden="1" x14ac:dyDescent="0.25">
      <c r="A96">
        <v>385</v>
      </c>
      <c r="B96" t="s">
        <v>107</v>
      </c>
      <c r="C96" t="s">
        <v>85</v>
      </c>
      <c r="D96" t="s">
        <v>86</v>
      </c>
      <c r="E96" s="1">
        <v>45991</v>
      </c>
      <c r="F96" t="s">
        <v>11</v>
      </c>
      <c r="G96">
        <v>94.08</v>
      </c>
      <c r="H96">
        <v>2025</v>
      </c>
    </row>
    <row r="97" spans="1:8" hidden="1" x14ac:dyDescent="0.25">
      <c r="A97">
        <v>403</v>
      </c>
      <c r="B97" t="s">
        <v>108</v>
      </c>
      <c r="C97" t="s">
        <v>85</v>
      </c>
      <c r="D97" t="s">
        <v>86</v>
      </c>
      <c r="E97" s="1">
        <v>45740</v>
      </c>
      <c r="F97" t="s">
        <v>11</v>
      </c>
      <c r="G97">
        <v>95.77</v>
      </c>
      <c r="H97">
        <v>2025</v>
      </c>
    </row>
    <row r="98" spans="1:8" hidden="1" x14ac:dyDescent="0.25">
      <c r="A98">
        <v>431</v>
      </c>
      <c r="B98" t="s">
        <v>109</v>
      </c>
      <c r="C98" t="s">
        <v>85</v>
      </c>
      <c r="D98" t="s">
        <v>86</v>
      </c>
      <c r="E98" s="1">
        <v>45943</v>
      </c>
      <c r="F98" t="s">
        <v>11</v>
      </c>
      <c r="G98">
        <v>92.63</v>
      </c>
      <c r="H98">
        <v>2025</v>
      </c>
    </row>
    <row r="99" spans="1:8" hidden="1" x14ac:dyDescent="0.25">
      <c r="A99">
        <v>438</v>
      </c>
      <c r="B99" t="s">
        <v>110</v>
      </c>
      <c r="C99" t="s">
        <v>85</v>
      </c>
      <c r="D99" t="s">
        <v>86</v>
      </c>
      <c r="E99" s="1">
        <v>45784</v>
      </c>
      <c r="F99" t="s">
        <v>11</v>
      </c>
      <c r="G99">
        <v>89.61</v>
      </c>
      <c r="H99">
        <v>2025</v>
      </c>
    </row>
    <row r="100" spans="1:8" hidden="1" x14ac:dyDescent="0.25">
      <c r="A100">
        <v>449</v>
      </c>
      <c r="B100" t="s">
        <v>111</v>
      </c>
      <c r="C100" t="s">
        <v>85</v>
      </c>
      <c r="D100" t="s">
        <v>86</v>
      </c>
      <c r="E100" s="1">
        <v>45950</v>
      </c>
      <c r="F100" t="s">
        <v>11</v>
      </c>
      <c r="G100">
        <v>96.52</v>
      </c>
      <c r="H100">
        <v>2025</v>
      </c>
    </row>
    <row r="101" spans="1:8" hidden="1" x14ac:dyDescent="0.25">
      <c r="A101">
        <v>469</v>
      </c>
      <c r="B101" t="s">
        <v>112</v>
      </c>
      <c r="C101" t="s">
        <v>85</v>
      </c>
      <c r="D101" t="s">
        <v>86</v>
      </c>
      <c r="E101" s="1">
        <v>45911</v>
      </c>
      <c r="F101" t="s">
        <v>11</v>
      </c>
      <c r="G101">
        <v>80.38</v>
      </c>
      <c r="H101">
        <v>2025</v>
      </c>
    </row>
    <row r="102" spans="1:8" hidden="1" x14ac:dyDescent="0.25">
      <c r="A102">
        <v>476</v>
      </c>
      <c r="B102" t="s">
        <v>113</v>
      </c>
      <c r="C102" t="s">
        <v>85</v>
      </c>
      <c r="D102" t="s">
        <v>86</v>
      </c>
      <c r="E102" s="1">
        <v>45972</v>
      </c>
      <c r="F102" t="s">
        <v>11</v>
      </c>
      <c r="G102">
        <v>92.37</v>
      </c>
      <c r="H102">
        <v>2025</v>
      </c>
    </row>
    <row r="103" spans="1:8" hidden="1" x14ac:dyDescent="0.25">
      <c r="A103">
        <v>482</v>
      </c>
      <c r="B103" t="s">
        <v>114</v>
      </c>
      <c r="C103" t="s">
        <v>85</v>
      </c>
      <c r="D103" t="s">
        <v>86</v>
      </c>
      <c r="E103" s="1">
        <v>45785</v>
      </c>
      <c r="F103" t="s">
        <v>11</v>
      </c>
      <c r="G103">
        <v>83.28</v>
      </c>
      <c r="H103">
        <v>2025</v>
      </c>
    </row>
    <row r="104" spans="1:8" hidden="1" x14ac:dyDescent="0.25">
      <c r="A104">
        <v>509</v>
      </c>
      <c r="B104" t="s">
        <v>115</v>
      </c>
      <c r="C104" t="s">
        <v>85</v>
      </c>
      <c r="D104" t="s">
        <v>86</v>
      </c>
      <c r="E104" s="1">
        <v>45939</v>
      </c>
      <c r="F104" t="s">
        <v>11</v>
      </c>
      <c r="G104">
        <v>70.44</v>
      </c>
      <c r="H104">
        <v>2025</v>
      </c>
    </row>
    <row r="105" spans="1:8" hidden="1" x14ac:dyDescent="0.25">
      <c r="A105">
        <v>522</v>
      </c>
      <c r="B105" t="s">
        <v>116</v>
      </c>
      <c r="C105" t="s">
        <v>85</v>
      </c>
      <c r="D105" t="s">
        <v>86</v>
      </c>
      <c r="E105" s="1">
        <v>45990</v>
      </c>
      <c r="F105" t="s">
        <v>11</v>
      </c>
      <c r="G105">
        <v>78.13</v>
      </c>
      <c r="H105">
        <v>2025</v>
      </c>
    </row>
    <row r="106" spans="1:8" hidden="1" x14ac:dyDescent="0.25">
      <c r="A106">
        <v>534</v>
      </c>
      <c r="B106" t="s">
        <v>117</v>
      </c>
      <c r="C106" t="s">
        <v>85</v>
      </c>
      <c r="D106" t="s">
        <v>86</v>
      </c>
      <c r="E106" s="1">
        <v>45762</v>
      </c>
      <c r="F106" t="s">
        <v>11</v>
      </c>
      <c r="G106">
        <v>81.63</v>
      </c>
      <c r="H106">
        <v>2025</v>
      </c>
    </row>
    <row r="107" spans="1:8" hidden="1" x14ac:dyDescent="0.25">
      <c r="A107">
        <v>553</v>
      </c>
      <c r="B107" t="s">
        <v>118</v>
      </c>
      <c r="C107" t="s">
        <v>85</v>
      </c>
      <c r="D107" t="s">
        <v>86</v>
      </c>
      <c r="E107" s="1">
        <v>45811</v>
      </c>
      <c r="F107" t="s">
        <v>11</v>
      </c>
      <c r="G107">
        <v>94.19</v>
      </c>
      <c r="H107">
        <v>2025</v>
      </c>
    </row>
    <row r="108" spans="1:8" hidden="1" x14ac:dyDescent="0.25">
      <c r="A108">
        <v>569</v>
      </c>
      <c r="B108" t="s">
        <v>119</v>
      </c>
      <c r="C108" t="s">
        <v>85</v>
      </c>
      <c r="D108" t="s">
        <v>86</v>
      </c>
      <c r="E108" s="1">
        <v>45661</v>
      </c>
      <c r="F108" t="s">
        <v>11</v>
      </c>
      <c r="G108">
        <v>83.89</v>
      </c>
      <c r="H108">
        <v>2025</v>
      </c>
    </row>
    <row r="109" spans="1:8" hidden="1" x14ac:dyDescent="0.25">
      <c r="A109">
        <v>579</v>
      </c>
      <c r="B109" t="s">
        <v>120</v>
      </c>
      <c r="C109" t="s">
        <v>85</v>
      </c>
      <c r="D109" t="s">
        <v>86</v>
      </c>
      <c r="E109" s="1">
        <v>45795</v>
      </c>
      <c r="F109" t="s">
        <v>11</v>
      </c>
      <c r="G109">
        <v>93.11</v>
      </c>
      <c r="H109">
        <v>2025</v>
      </c>
    </row>
    <row r="110" spans="1:8" hidden="1" x14ac:dyDescent="0.25">
      <c r="A110">
        <v>588</v>
      </c>
      <c r="B110" t="s">
        <v>121</v>
      </c>
      <c r="C110" t="s">
        <v>85</v>
      </c>
      <c r="D110" t="s">
        <v>86</v>
      </c>
      <c r="E110" s="1">
        <v>45899</v>
      </c>
      <c r="F110" t="s">
        <v>11</v>
      </c>
      <c r="G110">
        <v>93.24</v>
      </c>
      <c r="H110">
        <v>2025</v>
      </c>
    </row>
    <row r="111" spans="1:8" hidden="1" x14ac:dyDescent="0.25">
      <c r="A111">
        <v>589</v>
      </c>
      <c r="B111" t="s">
        <v>122</v>
      </c>
      <c r="C111" t="s">
        <v>85</v>
      </c>
      <c r="D111" t="s">
        <v>86</v>
      </c>
      <c r="E111" s="1">
        <v>45933</v>
      </c>
      <c r="F111" t="s">
        <v>11</v>
      </c>
      <c r="G111">
        <v>83.51</v>
      </c>
      <c r="H111">
        <v>2025</v>
      </c>
    </row>
    <row r="112" spans="1:8" hidden="1" x14ac:dyDescent="0.25">
      <c r="A112">
        <v>606</v>
      </c>
      <c r="B112" t="s">
        <v>123</v>
      </c>
      <c r="C112" t="s">
        <v>85</v>
      </c>
      <c r="D112" t="s">
        <v>86</v>
      </c>
      <c r="E112" s="1">
        <v>45817</v>
      </c>
      <c r="F112" t="s">
        <v>11</v>
      </c>
      <c r="G112">
        <v>81.430000000000007</v>
      </c>
      <c r="H112">
        <v>2025</v>
      </c>
    </row>
    <row r="113" spans="1:8" hidden="1" x14ac:dyDescent="0.25">
      <c r="A113">
        <v>624</v>
      </c>
      <c r="B113" t="s">
        <v>124</v>
      </c>
      <c r="C113" t="s">
        <v>85</v>
      </c>
      <c r="D113" t="s">
        <v>86</v>
      </c>
      <c r="E113" s="1">
        <v>45908</v>
      </c>
      <c r="F113" t="s">
        <v>11</v>
      </c>
      <c r="G113">
        <v>90.26</v>
      </c>
      <c r="H113">
        <v>2025</v>
      </c>
    </row>
    <row r="114" spans="1:8" hidden="1" x14ac:dyDescent="0.25">
      <c r="A114">
        <v>627</v>
      </c>
      <c r="B114" t="s">
        <v>125</v>
      </c>
      <c r="C114" t="s">
        <v>85</v>
      </c>
      <c r="D114" t="s">
        <v>86</v>
      </c>
      <c r="E114" s="1">
        <v>45951</v>
      </c>
      <c r="F114" t="s">
        <v>11</v>
      </c>
      <c r="G114">
        <v>95.14</v>
      </c>
      <c r="H114">
        <v>2025</v>
      </c>
    </row>
    <row r="115" spans="1:8" hidden="1" x14ac:dyDescent="0.25">
      <c r="A115">
        <v>629</v>
      </c>
      <c r="B115" t="s">
        <v>126</v>
      </c>
      <c r="C115" t="s">
        <v>85</v>
      </c>
      <c r="D115" t="s">
        <v>86</v>
      </c>
      <c r="E115" s="1">
        <v>45870</v>
      </c>
      <c r="F115" t="s">
        <v>11</v>
      </c>
      <c r="G115">
        <v>82.41</v>
      </c>
      <c r="H115">
        <v>2025</v>
      </c>
    </row>
    <row r="116" spans="1:8" hidden="1" x14ac:dyDescent="0.25">
      <c r="A116">
        <v>634</v>
      </c>
      <c r="B116" t="s">
        <v>127</v>
      </c>
      <c r="C116" t="s">
        <v>85</v>
      </c>
      <c r="D116" t="s">
        <v>86</v>
      </c>
      <c r="E116" s="1">
        <v>45923</v>
      </c>
      <c r="F116" t="s">
        <v>11</v>
      </c>
      <c r="G116">
        <v>75.13</v>
      </c>
      <c r="H116">
        <v>2025</v>
      </c>
    </row>
    <row r="117" spans="1:8" hidden="1" x14ac:dyDescent="0.25">
      <c r="A117">
        <v>643</v>
      </c>
      <c r="B117" t="s">
        <v>128</v>
      </c>
      <c r="C117" t="s">
        <v>85</v>
      </c>
      <c r="D117" t="s">
        <v>86</v>
      </c>
      <c r="E117" s="1">
        <v>46011</v>
      </c>
      <c r="F117" t="s">
        <v>11</v>
      </c>
      <c r="G117">
        <v>70.3</v>
      </c>
      <c r="H117">
        <v>2025</v>
      </c>
    </row>
    <row r="118" spans="1:8" hidden="1" x14ac:dyDescent="0.25">
      <c r="A118">
        <v>656</v>
      </c>
      <c r="B118" t="s">
        <v>129</v>
      </c>
      <c r="C118" t="s">
        <v>85</v>
      </c>
      <c r="D118" t="s">
        <v>86</v>
      </c>
      <c r="E118" s="1">
        <v>45847</v>
      </c>
      <c r="F118" t="s">
        <v>11</v>
      </c>
      <c r="G118">
        <v>89.15</v>
      </c>
      <c r="H118">
        <v>2025</v>
      </c>
    </row>
    <row r="119" spans="1:8" hidden="1" x14ac:dyDescent="0.25">
      <c r="A119">
        <v>660</v>
      </c>
      <c r="B119" t="s">
        <v>130</v>
      </c>
      <c r="C119" t="s">
        <v>85</v>
      </c>
      <c r="D119" t="s">
        <v>86</v>
      </c>
      <c r="E119" s="1">
        <v>45916</v>
      </c>
      <c r="F119" t="s">
        <v>11</v>
      </c>
      <c r="G119">
        <v>99.78</v>
      </c>
      <c r="H119">
        <v>2025</v>
      </c>
    </row>
    <row r="120" spans="1:8" hidden="1" x14ac:dyDescent="0.25">
      <c r="A120">
        <v>686</v>
      </c>
      <c r="B120" t="s">
        <v>131</v>
      </c>
      <c r="C120" t="s">
        <v>85</v>
      </c>
      <c r="D120" t="s">
        <v>86</v>
      </c>
      <c r="E120" s="1">
        <v>45662</v>
      </c>
      <c r="F120" t="s">
        <v>11</v>
      </c>
      <c r="G120">
        <v>85.47</v>
      </c>
      <c r="H120">
        <v>2025</v>
      </c>
    </row>
    <row r="121" spans="1:8" hidden="1" x14ac:dyDescent="0.25">
      <c r="A121">
        <v>687</v>
      </c>
      <c r="B121" t="s">
        <v>132</v>
      </c>
      <c r="C121" t="s">
        <v>85</v>
      </c>
      <c r="D121" t="s">
        <v>86</v>
      </c>
      <c r="E121" s="1">
        <v>45813</v>
      </c>
      <c r="F121" t="s">
        <v>11</v>
      </c>
      <c r="G121">
        <v>98.99</v>
      </c>
      <c r="H121">
        <v>2025</v>
      </c>
    </row>
    <row r="122" spans="1:8" hidden="1" x14ac:dyDescent="0.25">
      <c r="A122">
        <v>695</v>
      </c>
      <c r="B122" t="s">
        <v>133</v>
      </c>
      <c r="C122" t="s">
        <v>85</v>
      </c>
      <c r="D122" t="s">
        <v>86</v>
      </c>
      <c r="E122" s="1">
        <v>45661</v>
      </c>
      <c r="F122" t="s">
        <v>11</v>
      </c>
      <c r="G122">
        <v>94</v>
      </c>
      <c r="H122">
        <v>2025</v>
      </c>
    </row>
    <row r="123" spans="1:8" hidden="1" x14ac:dyDescent="0.25">
      <c r="A123">
        <v>707</v>
      </c>
      <c r="B123" t="s">
        <v>134</v>
      </c>
      <c r="C123" t="s">
        <v>85</v>
      </c>
      <c r="D123" t="s">
        <v>86</v>
      </c>
      <c r="E123" s="1">
        <v>45980</v>
      </c>
      <c r="F123" t="s">
        <v>11</v>
      </c>
      <c r="G123">
        <v>81.540000000000006</v>
      </c>
      <c r="H123">
        <v>2025</v>
      </c>
    </row>
    <row r="124" spans="1:8" hidden="1" x14ac:dyDescent="0.25">
      <c r="A124">
        <v>716</v>
      </c>
      <c r="B124" t="s">
        <v>135</v>
      </c>
      <c r="C124" t="s">
        <v>85</v>
      </c>
      <c r="D124" t="s">
        <v>86</v>
      </c>
      <c r="E124" s="1">
        <v>45822</v>
      </c>
      <c r="F124" t="s">
        <v>11</v>
      </c>
      <c r="G124">
        <v>81.23</v>
      </c>
      <c r="H124">
        <v>2025</v>
      </c>
    </row>
    <row r="125" spans="1:8" hidden="1" x14ac:dyDescent="0.25">
      <c r="A125">
        <v>725</v>
      </c>
      <c r="B125" t="s">
        <v>136</v>
      </c>
      <c r="C125" t="s">
        <v>85</v>
      </c>
      <c r="D125" t="s">
        <v>86</v>
      </c>
      <c r="E125" s="1">
        <v>45734</v>
      </c>
      <c r="F125" t="s">
        <v>11</v>
      </c>
      <c r="G125">
        <v>80.77</v>
      </c>
      <c r="H125">
        <v>2025</v>
      </c>
    </row>
    <row r="126" spans="1:8" hidden="1" x14ac:dyDescent="0.25">
      <c r="A126">
        <v>750</v>
      </c>
      <c r="B126" t="s">
        <v>137</v>
      </c>
      <c r="C126" t="s">
        <v>85</v>
      </c>
      <c r="D126" t="s">
        <v>86</v>
      </c>
      <c r="E126" s="1">
        <v>45921</v>
      </c>
      <c r="F126" t="s">
        <v>11</v>
      </c>
      <c r="G126">
        <v>74.180000000000007</v>
      </c>
      <c r="H126">
        <v>2025</v>
      </c>
    </row>
    <row r="127" spans="1:8" hidden="1" x14ac:dyDescent="0.25">
      <c r="A127">
        <v>754</v>
      </c>
      <c r="B127" t="s">
        <v>138</v>
      </c>
      <c r="C127" t="s">
        <v>85</v>
      </c>
      <c r="D127" t="s">
        <v>86</v>
      </c>
      <c r="E127" s="1">
        <v>46018</v>
      </c>
      <c r="F127" t="s">
        <v>11</v>
      </c>
      <c r="G127">
        <v>73.39</v>
      </c>
      <c r="H127">
        <v>2025</v>
      </c>
    </row>
    <row r="128" spans="1:8" hidden="1" x14ac:dyDescent="0.25">
      <c r="A128">
        <v>756</v>
      </c>
      <c r="B128" t="s">
        <v>139</v>
      </c>
      <c r="C128" t="s">
        <v>85</v>
      </c>
      <c r="D128" t="s">
        <v>86</v>
      </c>
      <c r="E128" s="1">
        <v>45778</v>
      </c>
      <c r="F128" t="s">
        <v>11</v>
      </c>
      <c r="G128">
        <v>81.7</v>
      </c>
      <c r="H128">
        <v>2025</v>
      </c>
    </row>
    <row r="129" spans="1:8" hidden="1" x14ac:dyDescent="0.25">
      <c r="A129">
        <v>787</v>
      </c>
      <c r="B129" t="s">
        <v>140</v>
      </c>
      <c r="C129" t="s">
        <v>85</v>
      </c>
      <c r="D129" t="s">
        <v>86</v>
      </c>
      <c r="E129" s="1">
        <v>45908</v>
      </c>
      <c r="F129" t="s">
        <v>11</v>
      </c>
      <c r="G129">
        <v>73.84</v>
      </c>
      <c r="H129">
        <v>2025</v>
      </c>
    </row>
    <row r="130" spans="1:8" hidden="1" x14ac:dyDescent="0.25">
      <c r="A130">
        <v>802</v>
      </c>
      <c r="B130" t="s">
        <v>141</v>
      </c>
      <c r="C130" t="s">
        <v>85</v>
      </c>
      <c r="D130" t="s">
        <v>86</v>
      </c>
      <c r="E130" s="1">
        <v>45777</v>
      </c>
      <c r="F130" t="s">
        <v>11</v>
      </c>
      <c r="G130">
        <v>82.63</v>
      </c>
      <c r="H130">
        <v>2025</v>
      </c>
    </row>
    <row r="131" spans="1:8" hidden="1" x14ac:dyDescent="0.25">
      <c r="A131">
        <v>861</v>
      </c>
      <c r="B131" t="s">
        <v>142</v>
      </c>
      <c r="C131" t="s">
        <v>85</v>
      </c>
      <c r="D131" t="s">
        <v>86</v>
      </c>
      <c r="E131" s="1">
        <v>45666</v>
      </c>
      <c r="F131" t="s">
        <v>11</v>
      </c>
      <c r="G131">
        <v>88.05</v>
      </c>
      <c r="H131">
        <v>2025</v>
      </c>
    </row>
    <row r="132" spans="1:8" hidden="1" x14ac:dyDescent="0.25">
      <c r="A132">
        <v>872</v>
      </c>
      <c r="B132" t="s">
        <v>143</v>
      </c>
      <c r="C132" t="s">
        <v>85</v>
      </c>
      <c r="D132" t="s">
        <v>86</v>
      </c>
      <c r="E132" s="1">
        <v>45948</v>
      </c>
      <c r="F132" t="s">
        <v>11</v>
      </c>
      <c r="G132">
        <v>80.63</v>
      </c>
      <c r="H132">
        <v>2025</v>
      </c>
    </row>
    <row r="133" spans="1:8" hidden="1" x14ac:dyDescent="0.25">
      <c r="A133">
        <v>873</v>
      </c>
      <c r="B133" t="s">
        <v>144</v>
      </c>
      <c r="C133" t="s">
        <v>85</v>
      </c>
      <c r="D133" t="s">
        <v>86</v>
      </c>
      <c r="E133" s="1">
        <v>45907</v>
      </c>
      <c r="F133" t="s">
        <v>11</v>
      </c>
      <c r="G133">
        <v>70.930000000000007</v>
      </c>
      <c r="H133">
        <v>2025</v>
      </c>
    </row>
    <row r="134" spans="1:8" hidden="1" x14ac:dyDescent="0.25">
      <c r="A134">
        <v>884</v>
      </c>
      <c r="B134" t="s">
        <v>145</v>
      </c>
      <c r="C134" t="s">
        <v>85</v>
      </c>
      <c r="D134" t="s">
        <v>86</v>
      </c>
      <c r="E134" s="1">
        <v>45810</v>
      </c>
      <c r="F134" t="s">
        <v>11</v>
      </c>
      <c r="G134">
        <v>85.08</v>
      </c>
      <c r="H134">
        <v>2025</v>
      </c>
    </row>
    <row r="135" spans="1:8" hidden="1" x14ac:dyDescent="0.25">
      <c r="A135">
        <v>892</v>
      </c>
      <c r="B135" t="s">
        <v>146</v>
      </c>
      <c r="C135" t="s">
        <v>85</v>
      </c>
      <c r="D135" t="s">
        <v>86</v>
      </c>
      <c r="E135" s="1">
        <v>45751</v>
      </c>
      <c r="F135" t="s">
        <v>11</v>
      </c>
      <c r="G135">
        <v>73.7</v>
      </c>
      <c r="H135">
        <v>2025</v>
      </c>
    </row>
    <row r="136" spans="1:8" hidden="1" x14ac:dyDescent="0.25">
      <c r="A136">
        <v>905</v>
      </c>
      <c r="B136" t="s">
        <v>147</v>
      </c>
      <c r="C136" t="s">
        <v>85</v>
      </c>
      <c r="D136" t="s">
        <v>86</v>
      </c>
      <c r="E136" s="1">
        <v>45973</v>
      </c>
      <c r="F136" t="s">
        <v>11</v>
      </c>
      <c r="G136">
        <v>71.739999999999995</v>
      </c>
      <c r="H136">
        <v>2025</v>
      </c>
    </row>
    <row r="137" spans="1:8" hidden="1" x14ac:dyDescent="0.25">
      <c r="A137">
        <v>913</v>
      </c>
      <c r="B137" t="s">
        <v>148</v>
      </c>
      <c r="C137" t="s">
        <v>85</v>
      </c>
      <c r="D137" t="s">
        <v>86</v>
      </c>
      <c r="E137" s="1">
        <v>45852</v>
      </c>
      <c r="F137" t="s">
        <v>11</v>
      </c>
      <c r="G137">
        <v>82.21</v>
      </c>
      <c r="H137">
        <v>2025</v>
      </c>
    </row>
    <row r="138" spans="1:8" hidden="1" x14ac:dyDescent="0.25">
      <c r="A138">
        <v>935</v>
      </c>
      <c r="B138" t="s">
        <v>149</v>
      </c>
      <c r="C138" t="s">
        <v>85</v>
      </c>
      <c r="D138" t="s">
        <v>86</v>
      </c>
      <c r="E138" s="1">
        <v>45824</v>
      </c>
      <c r="F138" t="s">
        <v>11</v>
      </c>
      <c r="G138">
        <v>73.150000000000006</v>
      </c>
      <c r="H138">
        <v>2025</v>
      </c>
    </row>
    <row r="139" spans="1:8" hidden="1" x14ac:dyDescent="0.25">
      <c r="A139">
        <v>970</v>
      </c>
      <c r="B139" t="s">
        <v>150</v>
      </c>
      <c r="C139" t="s">
        <v>85</v>
      </c>
      <c r="D139" t="s">
        <v>86</v>
      </c>
      <c r="E139" s="1">
        <v>45720</v>
      </c>
      <c r="F139" t="s">
        <v>11</v>
      </c>
      <c r="G139">
        <v>86.59</v>
      </c>
      <c r="H139">
        <v>2025</v>
      </c>
    </row>
    <row r="140" spans="1:8" hidden="1" x14ac:dyDescent="0.25">
      <c r="A140">
        <v>991</v>
      </c>
      <c r="B140" t="s">
        <v>151</v>
      </c>
      <c r="C140" t="s">
        <v>85</v>
      </c>
      <c r="D140" t="s">
        <v>86</v>
      </c>
      <c r="E140" s="1">
        <v>45776</v>
      </c>
      <c r="F140" t="s">
        <v>11</v>
      </c>
      <c r="G140">
        <v>77.25</v>
      </c>
      <c r="H140">
        <v>2025</v>
      </c>
    </row>
    <row r="141" spans="1:8" hidden="1" x14ac:dyDescent="0.25">
      <c r="A141">
        <v>3</v>
      </c>
      <c r="B141" t="s">
        <v>152</v>
      </c>
      <c r="C141" t="s">
        <v>153</v>
      </c>
      <c r="D141" t="s">
        <v>154</v>
      </c>
      <c r="E141" s="1">
        <v>45917</v>
      </c>
      <c r="F141" t="s">
        <v>11</v>
      </c>
      <c r="G141">
        <v>77.599999999999994</v>
      </c>
      <c r="H141">
        <v>2025</v>
      </c>
    </row>
    <row r="142" spans="1:8" x14ac:dyDescent="0.25">
      <c r="A142">
        <v>10</v>
      </c>
      <c r="B142" t="s">
        <v>155</v>
      </c>
      <c r="C142" t="s">
        <v>156</v>
      </c>
      <c r="D142" t="s">
        <v>157</v>
      </c>
      <c r="E142" s="1">
        <v>45916</v>
      </c>
      <c r="F142" t="s">
        <v>11</v>
      </c>
      <c r="G142">
        <v>72.19</v>
      </c>
      <c r="H142">
        <v>2025</v>
      </c>
    </row>
    <row r="143" spans="1:8" x14ac:dyDescent="0.25">
      <c r="A143">
        <v>16</v>
      </c>
      <c r="B143" t="s">
        <v>158</v>
      </c>
      <c r="C143" t="s">
        <v>156</v>
      </c>
      <c r="D143" t="s">
        <v>157</v>
      </c>
      <c r="E143" s="1">
        <v>45813</v>
      </c>
      <c r="F143" t="s">
        <v>11</v>
      </c>
      <c r="G143">
        <v>73.45</v>
      </c>
      <c r="H143">
        <v>2025</v>
      </c>
    </row>
    <row r="144" spans="1:8" hidden="1" x14ac:dyDescent="0.25">
      <c r="A144">
        <v>32</v>
      </c>
      <c r="B144" t="s">
        <v>159</v>
      </c>
      <c r="C144" t="s">
        <v>153</v>
      </c>
      <c r="D144" t="s">
        <v>154</v>
      </c>
      <c r="E144" s="1">
        <v>45885</v>
      </c>
      <c r="F144" t="s">
        <v>11</v>
      </c>
      <c r="G144">
        <v>79.83</v>
      </c>
      <c r="H144">
        <v>2025</v>
      </c>
    </row>
    <row r="145" spans="1:8" x14ac:dyDescent="0.25">
      <c r="A145">
        <v>43</v>
      </c>
      <c r="B145" t="s">
        <v>160</v>
      </c>
      <c r="C145" t="s">
        <v>156</v>
      </c>
      <c r="D145" t="s">
        <v>157</v>
      </c>
      <c r="E145" s="1">
        <v>45885</v>
      </c>
      <c r="F145" t="s">
        <v>11</v>
      </c>
      <c r="G145">
        <v>79.14</v>
      </c>
      <c r="H145">
        <v>2025</v>
      </c>
    </row>
    <row r="146" spans="1:8" hidden="1" x14ac:dyDescent="0.25">
      <c r="A146">
        <v>46</v>
      </c>
      <c r="B146" t="s">
        <v>161</v>
      </c>
      <c r="C146" t="s">
        <v>153</v>
      </c>
      <c r="D146" t="s">
        <v>154</v>
      </c>
      <c r="E146" s="1">
        <v>45693</v>
      </c>
      <c r="F146" t="s">
        <v>11</v>
      </c>
      <c r="G146">
        <v>81.23</v>
      </c>
      <c r="H146">
        <v>2025</v>
      </c>
    </row>
    <row r="147" spans="1:8" x14ac:dyDescent="0.25">
      <c r="A147">
        <v>54</v>
      </c>
      <c r="B147" t="s">
        <v>162</v>
      </c>
      <c r="C147" t="s">
        <v>156</v>
      </c>
      <c r="D147" t="s">
        <v>157</v>
      </c>
      <c r="E147" s="1">
        <v>45901</v>
      </c>
      <c r="F147" t="s">
        <v>11</v>
      </c>
      <c r="G147">
        <v>71.16</v>
      </c>
      <c r="H147">
        <v>2025</v>
      </c>
    </row>
    <row r="148" spans="1:8" x14ac:dyDescent="0.25">
      <c r="A148">
        <v>78</v>
      </c>
      <c r="B148" t="s">
        <v>163</v>
      </c>
      <c r="C148" t="s">
        <v>156</v>
      </c>
      <c r="D148" t="s">
        <v>157</v>
      </c>
      <c r="E148" s="1">
        <v>45959</v>
      </c>
      <c r="F148" t="s">
        <v>11</v>
      </c>
      <c r="G148">
        <v>73.959999999999994</v>
      </c>
      <c r="H148">
        <v>2025</v>
      </c>
    </row>
    <row r="149" spans="1:8" x14ac:dyDescent="0.25">
      <c r="A149">
        <v>80</v>
      </c>
      <c r="B149" t="s">
        <v>164</v>
      </c>
      <c r="C149" t="s">
        <v>156</v>
      </c>
      <c r="D149" t="s">
        <v>157</v>
      </c>
      <c r="E149" s="1">
        <v>45866</v>
      </c>
      <c r="F149" t="s">
        <v>11</v>
      </c>
      <c r="G149">
        <v>84.55</v>
      </c>
      <c r="H149">
        <v>2025</v>
      </c>
    </row>
    <row r="150" spans="1:8" hidden="1" x14ac:dyDescent="0.25">
      <c r="A150">
        <v>82</v>
      </c>
      <c r="B150" t="s">
        <v>165</v>
      </c>
      <c r="C150" t="s">
        <v>153</v>
      </c>
      <c r="D150" t="s">
        <v>154</v>
      </c>
      <c r="E150" s="1">
        <v>45831</v>
      </c>
      <c r="F150" t="s">
        <v>11</v>
      </c>
      <c r="G150">
        <v>84.4</v>
      </c>
      <c r="H150">
        <v>2025</v>
      </c>
    </row>
    <row r="151" spans="1:8" x14ac:dyDescent="0.25">
      <c r="A151">
        <v>91</v>
      </c>
      <c r="B151" t="s">
        <v>166</v>
      </c>
      <c r="C151" t="s">
        <v>156</v>
      </c>
      <c r="D151" t="s">
        <v>157</v>
      </c>
      <c r="E151" s="1">
        <v>45881</v>
      </c>
      <c r="F151" t="s">
        <v>11</v>
      </c>
      <c r="G151">
        <v>91.16</v>
      </c>
      <c r="H151">
        <v>2025</v>
      </c>
    </row>
    <row r="152" spans="1:8" hidden="1" x14ac:dyDescent="0.25">
      <c r="A152">
        <v>99</v>
      </c>
      <c r="B152" t="s">
        <v>167</v>
      </c>
      <c r="C152" t="s">
        <v>153</v>
      </c>
      <c r="D152" t="s">
        <v>154</v>
      </c>
      <c r="E152" s="1">
        <v>45955</v>
      </c>
      <c r="F152" t="s">
        <v>11</v>
      </c>
      <c r="G152">
        <v>94.19</v>
      </c>
      <c r="H152">
        <v>2025</v>
      </c>
    </row>
    <row r="153" spans="1:8" hidden="1" x14ac:dyDescent="0.25">
      <c r="A153">
        <v>101</v>
      </c>
      <c r="B153" t="s">
        <v>168</v>
      </c>
      <c r="C153" t="s">
        <v>153</v>
      </c>
      <c r="D153" t="s">
        <v>154</v>
      </c>
      <c r="E153" s="1">
        <v>46004</v>
      </c>
      <c r="F153" t="s">
        <v>11</v>
      </c>
      <c r="G153">
        <v>71.97</v>
      </c>
      <c r="H153">
        <v>2025</v>
      </c>
    </row>
    <row r="154" spans="1:8" hidden="1" x14ac:dyDescent="0.25">
      <c r="A154">
        <v>102</v>
      </c>
      <c r="B154" t="s">
        <v>169</v>
      </c>
      <c r="C154" t="s">
        <v>153</v>
      </c>
      <c r="D154" t="s">
        <v>154</v>
      </c>
      <c r="E154" s="1">
        <v>45760</v>
      </c>
      <c r="F154" t="s">
        <v>11</v>
      </c>
      <c r="G154">
        <v>94.43</v>
      </c>
      <c r="H154">
        <v>2025</v>
      </c>
    </row>
    <row r="155" spans="1:8" x14ac:dyDescent="0.25">
      <c r="A155">
        <v>115</v>
      </c>
      <c r="B155" t="s">
        <v>170</v>
      </c>
      <c r="C155" t="s">
        <v>156</v>
      </c>
      <c r="D155" t="s">
        <v>157</v>
      </c>
      <c r="E155" s="1">
        <v>45691</v>
      </c>
      <c r="F155" t="s">
        <v>11</v>
      </c>
      <c r="G155">
        <v>97.94</v>
      </c>
      <c r="H155">
        <v>2025</v>
      </c>
    </row>
    <row r="156" spans="1:8" hidden="1" x14ac:dyDescent="0.25">
      <c r="A156">
        <v>116</v>
      </c>
      <c r="B156" t="s">
        <v>171</v>
      </c>
      <c r="C156" t="s">
        <v>153</v>
      </c>
      <c r="D156" t="s">
        <v>154</v>
      </c>
      <c r="E156" s="1">
        <v>45742</v>
      </c>
      <c r="F156" t="s">
        <v>11</v>
      </c>
      <c r="G156">
        <v>82.96</v>
      </c>
      <c r="H156">
        <v>2025</v>
      </c>
    </row>
    <row r="157" spans="1:8" x14ac:dyDescent="0.25">
      <c r="A157">
        <v>129</v>
      </c>
      <c r="B157" t="s">
        <v>172</v>
      </c>
      <c r="C157" t="s">
        <v>156</v>
      </c>
      <c r="D157" t="s">
        <v>157</v>
      </c>
      <c r="E157" s="1">
        <v>45808</v>
      </c>
      <c r="F157" t="s">
        <v>11</v>
      </c>
      <c r="G157">
        <v>99.57</v>
      </c>
      <c r="H157">
        <v>2025</v>
      </c>
    </row>
    <row r="158" spans="1:8" hidden="1" x14ac:dyDescent="0.25">
      <c r="A158">
        <v>130</v>
      </c>
      <c r="B158" t="s">
        <v>173</v>
      </c>
      <c r="C158" t="s">
        <v>153</v>
      </c>
      <c r="D158" t="s">
        <v>154</v>
      </c>
      <c r="E158" s="1">
        <v>45956</v>
      </c>
      <c r="F158" t="s">
        <v>11</v>
      </c>
      <c r="G158">
        <v>91.76</v>
      </c>
      <c r="H158">
        <v>2025</v>
      </c>
    </row>
    <row r="159" spans="1:8" hidden="1" x14ac:dyDescent="0.25">
      <c r="A159">
        <v>134</v>
      </c>
      <c r="B159" t="s">
        <v>174</v>
      </c>
      <c r="C159" t="s">
        <v>153</v>
      </c>
      <c r="D159" t="s">
        <v>154</v>
      </c>
      <c r="E159" s="1">
        <v>45738</v>
      </c>
      <c r="F159" t="s">
        <v>11</v>
      </c>
      <c r="G159">
        <v>70.27</v>
      </c>
      <c r="H159">
        <v>2025</v>
      </c>
    </row>
    <row r="160" spans="1:8" hidden="1" x14ac:dyDescent="0.25">
      <c r="A160">
        <v>143</v>
      </c>
      <c r="B160" t="s">
        <v>175</v>
      </c>
      <c r="C160" t="s">
        <v>153</v>
      </c>
      <c r="D160" t="s">
        <v>154</v>
      </c>
      <c r="E160" s="1">
        <v>45723</v>
      </c>
      <c r="F160" t="s">
        <v>11</v>
      </c>
      <c r="G160">
        <v>73.569999999999993</v>
      </c>
      <c r="H160">
        <v>2025</v>
      </c>
    </row>
    <row r="161" spans="1:8" hidden="1" x14ac:dyDescent="0.25">
      <c r="A161">
        <v>150</v>
      </c>
      <c r="B161" t="s">
        <v>176</v>
      </c>
      <c r="C161" t="s">
        <v>153</v>
      </c>
      <c r="D161" t="s">
        <v>154</v>
      </c>
      <c r="E161" s="1">
        <v>45793</v>
      </c>
      <c r="F161" t="s">
        <v>11</v>
      </c>
      <c r="G161">
        <v>94.1</v>
      </c>
      <c r="H161">
        <v>2025</v>
      </c>
    </row>
    <row r="162" spans="1:8" x14ac:dyDescent="0.25">
      <c r="A162">
        <v>154</v>
      </c>
      <c r="B162" t="s">
        <v>177</v>
      </c>
      <c r="C162" t="s">
        <v>156</v>
      </c>
      <c r="D162" t="s">
        <v>157</v>
      </c>
      <c r="E162" s="1">
        <v>45943</v>
      </c>
      <c r="F162" t="s">
        <v>11</v>
      </c>
      <c r="G162">
        <v>81.069999999999993</v>
      </c>
      <c r="H162">
        <v>2025</v>
      </c>
    </row>
    <row r="163" spans="1:8" hidden="1" x14ac:dyDescent="0.25">
      <c r="A163">
        <v>156</v>
      </c>
      <c r="B163" t="s">
        <v>178</v>
      </c>
      <c r="C163" t="s">
        <v>153</v>
      </c>
      <c r="D163" t="s">
        <v>154</v>
      </c>
      <c r="E163" s="1">
        <v>45792</v>
      </c>
      <c r="F163" t="s">
        <v>11</v>
      </c>
      <c r="G163">
        <v>71.290000000000006</v>
      </c>
      <c r="H163">
        <v>2025</v>
      </c>
    </row>
    <row r="164" spans="1:8" hidden="1" x14ac:dyDescent="0.25">
      <c r="A164">
        <v>171</v>
      </c>
      <c r="B164" t="s">
        <v>179</v>
      </c>
      <c r="C164" t="s">
        <v>153</v>
      </c>
      <c r="D164" t="s">
        <v>154</v>
      </c>
      <c r="E164" s="1">
        <v>45748</v>
      </c>
      <c r="F164" t="s">
        <v>11</v>
      </c>
      <c r="G164">
        <v>97.77</v>
      </c>
      <c r="H164">
        <v>2025</v>
      </c>
    </row>
    <row r="165" spans="1:8" hidden="1" x14ac:dyDescent="0.25">
      <c r="A165">
        <v>174</v>
      </c>
      <c r="B165" t="s">
        <v>180</v>
      </c>
      <c r="C165" t="s">
        <v>153</v>
      </c>
      <c r="D165" t="s">
        <v>154</v>
      </c>
      <c r="E165" s="1">
        <v>45782</v>
      </c>
      <c r="F165" t="s">
        <v>11</v>
      </c>
      <c r="G165">
        <v>82.72</v>
      </c>
      <c r="H165">
        <v>2025</v>
      </c>
    </row>
    <row r="166" spans="1:8" x14ac:dyDescent="0.25">
      <c r="A166">
        <v>198</v>
      </c>
      <c r="B166" t="s">
        <v>181</v>
      </c>
      <c r="C166" t="s">
        <v>156</v>
      </c>
      <c r="D166" t="s">
        <v>157</v>
      </c>
      <c r="E166" s="1">
        <v>45833</v>
      </c>
      <c r="F166" t="s">
        <v>11</v>
      </c>
      <c r="G166">
        <v>91.24</v>
      </c>
      <c r="H166">
        <v>2025</v>
      </c>
    </row>
    <row r="167" spans="1:8" x14ac:dyDescent="0.25">
      <c r="A167">
        <v>203</v>
      </c>
      <c r="B167" t="s">
        <v>182</v>
      </c>
      <c r="C167" t="s">
        <v>156</v>
      </c>
      <c r="D167" t="s">
        <v>157</v>
      </c>
      <c r="E167" s="1">
        <v>45837</v>
      </c>
      <c r="F167" t="s">
        <v>11</v>
      </c>
      <c r="G167">
        <v>88.78</v>
      </c>
      <c r="H167">
        <v>2025</v>
      </c>
    </row>
    <row r="168" spans="1:8" x14ac:dyDescent="0.25">
      <c r="A168">
        <v>205</v>
      </c>
      <c r="B168" t="s">
        <v>183</v>
      </c>
      <c r="C168" t="s">
        <v>156</v>
      </c>
      <c r="D168" t="s">
        <v>157</v>
      </c>
      <c r="E168" s="1">
        <v>45753</v>
      </c>
      <c r="F168" t="s">
        <v>11</v>
      </c>
      <c r="G168">
        <v>72.28</v>
      </c>
      <c r="H168">
        <v>2025</v>
      </c>
    </row>
    <row r="169" spans="1:8" hidden="1" x14ac:dyDescent="0.25">
      <c r="A169">
        <v>215</v>
      </c>
      <c r="B169" t="s">
        <v>184</v>
      </c>
      <c r="C169" t="s">
        <v>153</v>
      </c>
      <c r="D169" t="s">
        <v>154</v>
      </c>
      <c r="E169" s="1">
        <v>45925</v>
      </c>
      <c r="F169" t="s">
        <v>11</v>
      </c>
      <c r="G169">
        <v>81.14</v>
      </c>
      <c r="H169">
        <v>2025</v>
      </c>
    </row>
    <row r="170" spans="1:8" x14ac:dyDescent="0.25">
      <c r="A170">
        <v>226</v>
      </c>
      <c r="B170" t="s">
        <v>185</v>
      </c>
      <c r="C170" t="s">
        <v>156</v>
      </c>
      <c r="D170" t="s">
        <v>157</v>
      </c>
      <c r="E170" s="1">
        <v>45986</v>
      </c>
      <c r="F170" t="s">
        <v>11</v>
      </c>
      <c r="G170">
        <v>82.68</v>
      </c>
      <c r="H170">
        <v>2025</v>
      </c>
    </row>
    <row r="171" spans="1:8" x14ac:dyDescent="0.25">
      <c r="A171">
        <v>270</v>
      </c>
      <c r="B171" t="s">
        <v>186</v>
      </c>
      <c r="C171" t="s">
        <v>156</v>
      </c>
      <c r="D171" t="s">
        <v>157</v>
      </c>
      <c r="E171" s="1">
        <v>45693</v>
      </c>
      <c r="F171" t="s">
        <v>11</v>
      </c>
      <c r="G171">
        <v>76.819999999999993</v>
      </c>
      <c r="H171">
        <v>2025</v>
      </c>
    </row>
    <row r="172" spans="1:8" hidden="1" x14ac:dyDescent="0.25">
      <c r="A172">
        <v>279</v>
      </c>
      <c r="B172" t="s">
        <v>187</v>
      </c>
      <c r="C172" t="s">
        <v>153</v>
      </c>
      <c r="D172" t="s">
        <v>154</v>
      </c>
      <c r="E172" s="1">
        <v>45919</v>
      </c>
      <c r="F172" t="s">
        <v>11</v>
      </c>
      <c r="G172">
        <v>78.86</v>
      </c>
      <c r="H172">
        <v>2025</v>
      </c>
    </row>
    <row r="173" spans="1:8" x14ac:dyDescent="0.25">
      <c r="A173">
        <v>287</v>
      </c>
      <c r="B173" t="s">
        <v>188</v>
      </c>
      <c r="C173" t="s">
        <v>156</v>
      </c>
      <c r="D173" t="s">
        <v>157</v>
      </c>
      <c r="E173" s="1">
        <v>45791</v>
      </c>
      <c r="F173" t="s">
        <v>11</v>
      </c>
      <c r="G173">
        <v>86.43</v>
      </c>
      <c r="H173">
        <v>2025</v>
      </c>
    </row>
    <row r="174" spans="1:8" hidden="1" x14ac:dyDescent="0.25">
      <c r="A174">
        <v>295</v>
      </c>
      <c r="B174" t="s">
        <v>189</v>
      </c>
      <c r="C174" t="s">
        <v>153</v>
      </c>
      <c r="D174" t="s">
        <v>154</v>
      </c>
      <c r="E174" s="1">
        <v>45998</v>
      </c>
      <c r="F174" t="s">
        <v>11</v>
      </c>
      <c r="G174">
        <v>89.07</v>
      </c>
      <c r="H174">
        <v>2025</v>
      </c>
    </row>
    <row r="175" spans="1:8" x14ac:dyDescent="0.25">
      <c r="A175">
        <v>298</v>
      </c>
      <c r="B175" t="s">
        <v>190</v>
      </c>
      <c r="C175" t="s">
        <v>156</v>
      </c>
      <c r="D175" t="s">
        <v>157</v>
      </c>
      <c r="E175" s="1">
        <v>45783</v>
      </c>
      <c r="F175" t="s">
        <v>11</v>
      </c>
      <c r="G175">
        <v>81.13</v>
      </c>
      <c r="H175">
        <v>2025</v>
      </c>
    </row>
    <row r="176" spans="1:8" x14ac:dyDescent="0.25">
      <c r="A176">
        <v>304</v>
      </c>
      <c r="B176" t="s">
        <v>191</v>
      </c>
      <c r="C176" t="s">
        <v>156</v>
      </c>
      <c r="D176" t="s">
        <v>157</v>
      </c>
      <c r="E176" s="1">
        <v>45946</v>
      </c>
      <c r="F176" t="s">
        <v>11</v>
      </c>
      <c r="G176">
        <v>87.46</v>
      </c>
      <c r="H176">
        <v>2025</v>
      </c>
    </row>
    <row r="177" spans="1:8" x14ac:dyDescent="0.25">
      <c r="A177">
        <v>314</v>
      </c>
      <c r="B177" t="s">
        <v>192</v>
      </c>
      <c r="C177" t="s">
        <v>156</v>
      </c>
      <c r="D177" t="s">
        <v>157</v>
      </c>
      <c r="E177" s="1">
        <v>45972</v>
      </c>
      <c r="F177" t="s">
        <v>11</v>
      </c>
      <c r="G177">
        <v>86.91</v>
      </c>
      <c r="H177">
        <v>2025</v>
      </c>
    </row>
    <row r="178" spans="1:8" hidden="1" x14ac:dyDescent="0.25">
      <c r="A178">
        <v>339</v>
      </c>
      <c r="B178" t="s">
        <v>193</v>
      </c>
      <c r="C178" t="s">
        <v>153</v>
      </c>
      <c r="D178" t="s">
        <v>154</v>
      </c>
      <c r="E178" s="1">
        <v>45822</v>
      </c>
      <c r="F178" t="s">
        <v>11</v>
      </c>
      <c r="G178">
        <v>96.43</v>
      </c>
      <c r="H178">
        <v>2025</v>
      </c>
    </row>
    <row r="179" spans="1:8" hidden="1" x14ac:dyDescent="0.25">
      <c r="A179">
        <v>356</v>
      </c>
      <c r="B179" t="s">
        <v>194</v>
      </c>
      <c r="C179" t="s">
        <v>153</v>
      </c>
      <c r="D179" t="s">
        <v>154</v>
      </c>
      <c r="E179" s="1">
        <v>45911</v>
      </c>
      <c r="F179" t="s">
        <v>11</v>
      </c>
      <c r="G179">
        <v>72.09</v>
      </c>
      <c r="H179">
        <v>2025</v>
      </c>
    </row>
    <row r="180" spans="1:8" x14ac:dyDescent="0.25">
      <c r="A180">
        <v>360</v>
      </c>
      <c r="B180" t="s">
        <v>195</v>
      </c>
      <c r="C180" t="s">
        <v>156</v>
      </c>
      <c r="D180" t="s">
        <v>157</v>
      </c>
      <c r="E180" s="1">
        <v>45717</v>
      </c>
      <c r="F180" t="s">
        <v>11</v>
      </c>
      <c r="G180">
        <v>82.77</v>
      </c>
      <c r="H180">
        <v>2025</v>
      </c>
    </row>
    <row r="181" spans="1:8" hidden="1" x14ac:dyDescent="0.25">
      <c r="A181">
        <v>362</v>
      </c>
      <c r="B181" t="s">
        <v>196</v>
      </c>
      <c r="C181" t="s">
        <v>153</v>
      </c>
      <c r="D181" t="s">
        <v>154</v>
      </c>
      <c r="E181" s="1">
        <v>45807</v>
      </c>
      <c r="F181" t="s">
        <v>11</v>
      </c>
      <c r="G181">
        <v>99.28</v>
      </c>
      <c r="H181">
        <v>2025</v>
      </c>
    </row>
    <row r="182" spans="1:8" hidden="1" x14ac:dyDescent="0.25">
      <c r="A182">
        <v>373</v>
      </c>
      <c r="B182" t="s">
        <v>197</v>
      </c>
      <c r="C182" t="s">
        <v>153</v>
      </c>
      <c r="D182" t="s">
        <v>154</v>
      </c>
      <c r="E182" s="1">
        <v>45920</v>
      </c>
      <c r="F182" t="s">
        <v>11</v>
      </c>
      <c r="G182">
        <v>90.84</v>
      </c>
      <c r="H182">
        <v>2025</v>
      </c>
    </row>
    <row r="183" spans="1:8" x14ac:dyDescent="0.25">
      <c r="A183">
        <v>374</v>
      </c>
      <c r="B183" t="s">
        <v>198</v>
      </c>
      <c r="C183" t="s">
        <v>156</v>
      </c>
      <c r="D183" t="s">
        <v>157</v>
      </c>
      <c r="E183" s="1">
        <v>45931</v>
      </c>
      <c r="F183" t="s">
        <v>11</v>
      </c>
      <c r="G183">
        <v>93.89</v>
      </c>
      <c r="H183">
        <v>2025</v>
      </c>
    </row>
    <row r="184" spans="1:8" x14ac:dyDescent="0.25">
      <c r="A184">
        <v>378</v>
      </c>
      <c r="B184" t="s">
        <v>199</v>
      </c>
      <c r="C184" t="s">
        <v>156</v>
      </c>
      <c r="D184" t="s">
        <v>157</v>
      </c>
      <c r="E184" s="1">
        <v>46019</v>
      </c>
      <c r="F184" t="s">
        <v>11</v>
      </c>
      <c r="G184">
        <v>70.489999999999995</v>
      </c>
      <c r="H184">
        <v>2025</v>
      </c>
    </row>
    <row r="185" spans="1:8" hidden="1" x14ac:dyDescent="0.25">
      <c r="A185">
        <v>402</v>
      </c>
      <c r="B185" t="s">
        <v>200</v>
      </c>
      <c r="C185" t="s">
        <v>153</v>
      </c>
      <c r="D185" t="s">
        <v>154</v>
      </c>
      <c r="E185" s="1">
        <v>45886</v>
      </c>
      <c r="F185" t="s">
        <v>11</v>
      </c>
      <c r="G185">
        <v>86.86</v>
      </c>
      <c r="H185">
        <v>2025</v>
      </c>
    </row>
    <row r="186" spans="1:8" x14ac:dyDescent="0.25">
      <c r="A186">
        <v>422</v>
      </c>
      <c r="B186" t="s">
        <v>201</v>
      </c>
      <c r="C186" t="s">
        <v>156</v>
      </c>
      <c r="D186" t="s">
        <v>157</v>
      </c>
      <c r="E186" s="1">
        <v>45692</v>
      </c>
      <c r="F186" t="s">
        <v>11</v>
      </c>
      <c r="G186">
        <v>85.74</v>
      </c>
      <c r="H186">
        <v>2025</v>
      </c>
    </row>
    <row r="187" spans="1:8" hidden="1" x14ac:dyDescent="0.25">
      <c r="A187">
        <v>436</v>
      </c>
      <c r="B187" t="s">
        <v>202</v>
      </c>
      <c r="C187" t="s">
        <v>153</v>
      </c>
      <c r="D187" t="s">
        <v>154</v>
      </c>
      <c r="E187" s="1">
        <v>45951</v>
      </c>
      <c r="F187" t="s">
        <v>11</v>
      </c>
      <c r="G187">
        <v>77.38</v>
      </c>
      <c r="H187">
        <v>2025</v>
      </c>
    </row>
    <row r="188" spans="1:8" x14ac:dyDescent="0.25">
      <c r="A188">
        <v>452</v>
      </c>
      <c r="B188" t="s">
        <v>203</v>
      </c>
      <c r="C188" t="s">
        <v>156</v>
      </c>
      <c r="D188" t="s">
        <v>157</v>
      </c>
      <c r="E188" s="1">
        <v>45689</v>
      </c>
      <c r="F188" t="s">
        <v>11</v>
      </c>
      <c r="G188">
        <v>96.61</v>
      </c>
      <c r="H188">
        <v>2025</v>
      </c>
    </row>
    <row r="189" spans="1:8" x14ac:dyDescent="0.25">
      <c r="A189">
        <v>461</v>
      </c>
      <c r="B189" t="s">
        <v>204</v>
      </c>
      <c r="C189" t="s">
        <v>156</v>
      </c>
      <c r="D189" t="s">
        <v>157</v>
      </c>
      <c r="E189" s="1">
        <v>45946</v>
      </c>
      <c r="F189" t="s">
        <v>11</v>
      </c>
      <c r="G189">
        <v>73.290000000000006</v>
      </c>
      <c r="H189">
        <v>2025</v>
      </c>
    </row>
    <row r="190" spans="1:8" hidden="1" x14ac:dyDescent="0.25">
      <c r="A190">
        <v>468</v>
      </c>
      <c r="B190" t="s">
        <v>205</v>
      </c>
      <c r="C190" t="s">
        <v>153</v>
      </c>
      <c r="D190" t="s">
        <v>154</v>
      </c>
      <c r="E190" s="1">
        <v>45802</v>
      </c>
      <c r="F190" t="s">
        <v>11</v>
      </c>
      <c r="G190">
        <v>87.61</v>
      </c>
      <c r="H190">
        <v>2025</v>
      </c>
    </row>
    <row r="191" spans="1:8" x14ac:dyDescent="0.25">
      <c r="A191">
        <v>487</v>
      </c>
      <c r="B191" t="s">
        <v>206</v>
      </c>
      <c r="C191" t="s">
        <v>156</v>
      </c>
      <c r="D191" t="s">
        <v>157</v>
      </c>
      <c r="E191" s="1">
        <v>45972</v>
      </c>
      <c r="F191" t="s">
        <v>11</v>
      </c>
      <c r="G191">
        <v>81.75</v>
      </c>
      <c r="H191">
        <v>2025</v>
      </c>
    </row>
    <row r="192" spans="1:8" x14ac:dyDescent="0.25">
      <c r="A192">
        <v>491</v>
      </c>
      <c r="B192" t="s">
        <v>207</v>
      </c>
      <c r="C192" t="s">
        <v>156</v>
      </c>
      <c r="D192" t="s">
        <v>157</v>
      </c>
      <c r="E192" s="1">
        <v>45985</v>
      </c>
      <c r="F192" t="s">
        <v>11</v>
      </c>
      <c r="G192">
        <v>71.3</v>
      </c>
      <c r="H192">
        <v>2025</v>
      </c>
    </row>
    <row r="193" spans="1:8" x14ac:dyDescent="0.25">
      <c r="A193">
        <v>493</v>
      </c>
      <c r="B193" t="s">
        <v>208</v>
      </c>
      <c r="C193" t="s">
        <v>156</v>
      </c>
      <c r="D193" t="s">
        <v>157</v>
      </c>
      <c r="E193" s="1">
        <v>45709</v>
      </c>
      <c r="F193" t="s">
        <v>11</v>
      </c>
      <c r="G193">
        <v>88.25</v>
      </c>
      <c r="H193">
        <v>2025</v>
      </c>
    </row>
    <row r="194" spans="1:8" x14ac:dyDescent="0.25">
      <c r="A194">
        <v>510</v>
      </c>
      <c r="B194" t="s">
        <v>209</v>
      </c>
      <c r="C194" t="s">
        <v>156</v>
      </c>
      <c r="D194" t="s">
        <v>157</v>
      </c>
      <c r="E194" s="1">
        <v>45862</v>
      </c>
      <c r="F194" t="s">
        <v>11</v>
      </c>
      <c r="G194">
        <v>78.91</v>
      </c>
      <c r="H194">
        <v>2025</v>
      </c>
    </row>
    <row r="195" spans="1:8" x14ac:dyDescent="0.25">
      <c r="A195">
        <v>528</v>
      </c>
      <c r="B195" t="s">
        <v>210</v>
      </c>
      <c r="C195" t="s">
        <v>156</v>
      </c>
      <c r="D195" t="s">
        <v>157</v>
      </c>
      <c r="E195" s="1">
        <v>45662</v>
      </c>
      <c r="F195" t="s">
        <v>11</v>
      </c>
      <c r="G195">
        <v>77.87</v>
      </c>
      <c r="H195">
        <v>2025</v>
      </c>
    </row>
    <row r="196" spans="1:8" hidden="1" x14ac:dyDescent="0.25">
      <c r="A196">
        <v>535</v>
      </c>
      <c r="B196" t="s">
        <v>211</v>
      </c>
      <c r="C196" t="s">
        <v>153</v>
      </c>
      <c r="D196" t="s">
        <v>154</v>
      </c>
      <c r="E196" s="1">
        <v>45777</v>
      </c>
      <c r="F196" t="s">
        <v>11</v>
      </c>
      <c r="G196">
        <v>83.1</v>
      </c>
      <c r="H196">
        <v>2025</v>
      </c>
    </row>
    <row r="197" spans="1:8" hidden="1" x14ac:dyDescent="0.25">
      <c r="A197">
        <v>537</v>
      </c>
      <c r="B197" t="s">
        <v>212</v>
      </c>
      <c r="C197" t="s">
        <v>153</v>
      </c>
      <c r="D197" t="s">
        <v>154</v>
      </c>
      <c r="E197" s="1">
        <v>45858</v>
      </c>
      <c r="F197" t="s">
        <v>11</v>
      </c>
      <c r="G197">
        <v>76.98</v>
      </c>
      <c r="H197">
        <v>2025</v>
      </c>
    </row>
    <row r="198" spans="1:8" x14ac:dyDescent="0.25">
      <c r="A198">
        <v>540</v>
      </c>
      <c r="B198" t="s">
        <v>213</v>
      </c>
      <c r="C198" t="s">
        <v>156</v>
      </c>
      <c r="D198" t="s">
        <v>157</v>
      </c>
      <c r="E198" s="1">
        <v>46008</v>
      </c>
      <c r="F198" t="s">
        <v>11</v>
      </c>
      <c r="G198">
        <v>95.51</v>
      </c>
      <c r="H198">
        <v>2025</v>
      </c>
    </row>
    <row r="199" spans="1:8" hidden="1" x14ac:dyDescent="0.25">
      <c r="A199">
        <v>546</v>
      </c>
      <c r="B199" t="s">
        <v>214</v>
      </c>
      <c r="C199" t="s">
        <v>153</v>
      </c>
      <c r="D199" t="s">
        <v>154</v>
      </c>
      <c r="E199" s="1">
        <v>45680</v>
      </c>
      <c r="F199" t="s">
        <v>11</v>
      </c>
      <c r="G199">
        <v>75.930000000000007</v>
      </c>
      <c r="H199">
        <v>2025</v>
      </c>
    </row>
    <row r="200" spans="1:8" hidden="1" x14ac:dyDescent="0.25">
      <c r="A200">
        <v>554</v>
      </c>
      <c r="B200" t="s">
        <v>215</v>
      </c>
      <c r="C200" t="s">
        <v>153</v>
      </c>
      <c r="D200" t="s">
        <v>154</v>
      </c>
      <c r="E200" s="1">
        <v>45696</v>
      </c>
      <c r="F200" t="s">
        <v>11</v>
      </c>
      <c r="G200">
        <v>94.38</v>
      </c>
      <c r="H200">
        <v>2025</v>
      </c>
    </row>
    <row r="201" spans="1:8" hidden="1" x14ac:dyDescent="0.25">
      <c r="A201">
        <v>563</v>
      </c>
      <c r="B201" t="s">
        <v>216</v>
      </c>
      <c r="C201" t="s">
        <v>153</v>
      </c>
      <c r="D201" t="s">
        <v>154</v>
      </c>
      <c r="E201" s="1">
        <v>45884</v>
      </c>
      <c r="F201" t="s">
        <v>11</v>
      </c>
      <c r="G201">
        <v>88.36</v>
      </c>
      <c r="H201">
        <v>2025</v>
      </c>
    </row>
    <row r="202" spans="1:8" hidden="1" x14ac:dyDescent="0.25">
      <c r="A202">
        <v>581</v>
      </c>
      <c r="B202" t="s">
        <v>217</v>
      </c>
      <c r="C202" t="s">
        <v>153</v>
      </c>
      <c r="D202" t="s">
        <v>154</v>
      </c>
      <c r="E202" s="1">
        <v>45805</v>
      </c>
      <c r="F202" t="s">
        <v>11</v>
      </c>
      <c r="G202">
        <v>94.07</v>
      </c>
      <c r="H202">
        <v>2025</v>
      </c>
    </row>
    <row r="203" spans="1:8" hidden="1" x14ac:dyDescent="0.25">
      <c r="A203">
        <v>585</v>
      </c>
      <c r="B203" t="s">
        <v>218</v>
      </c>
      <c r="C203" t="s">
        <v>153</v>
      </c>
      <c r="D203" t="s">
        <v>154</v>
      </c>
      <c r="E203" s="1">
        <v>45936</v>
      </c>
      <c r="F203" t="s">
        <v>11</v>
      </c>
      <c r="G203">
        <v>86.04</v>
      </c>
      <c r="H203">
        <v>2025</v>
      </c>
    </row>
    <row r="204" spans="1:8" hidden="1" x14ac:dyDescent="0.25">
      <c r="A204">
        <v>597</v>
      </c>
      <c r="B204" t="s">
        <v>219</v>
      </c>
      <c r="C204" t="s">
        <v>153</v>
      </c>
      <c r="D204" t="s">
        <v>154</v>
      </c>
      <c r="E204" s="1">
        <v>46020</v>
      </c>
      <c r="F204" t="s">
        <v>11</v>
      </c>
      <c r="G204">
        <v>92.79</v>
      </c>
      <c r="H204">
        <v>2025</v>
      </c>
    </row>
    <row r="205" spans="1:8" x14ac:dyDescent="0.25">
      <c r="A205">
        <v>604</v>
      </c>
      <c r="B205" t="s">
        <v>220</v>
      </c>
      <c r="C205" t="s">
        <v>156</v>
      </c>
      <c r="D205" t="s">
        <v>157</v>
      </c>
      <c r="E205" s="1">
        <v>45704</v>
      </c>
      <c r="F205" t="s">
        <v>11</v>
      </c>
      <c r="G205">
        <v>78.900000000000006</v>
      </c>
      <c r="H205">
        <v>2025</v>
      </c>
    </row>
    <row r="206" spans="1:8" hidden="1" x14ac:dyDescent="0.25">
      <c r="A206">
        <v>605</v>
      </c>
      <c r="B206" t="s">
        <v>221</v>
      </c>
      <c r="C206" t="s">
        <v>153</v>
      </c>
      <c r="D206" t="s">
        <v>154</v>
      </c>
      <c r="E206" s="1">
        <v>45787</v>
      </c>
      <c r="F206" t="s">
        <v>11</v>
      </c>
      <c r="G206">
        <v>94.25</v>
      </c>
      <c r="H206">
        <v>2025</v>
      </c>
    </row>
    <row r="207" spans="1:8" hidden="1" x14ac:dyDescent="0.25">
      <c r="A207">
        <v>607</v>
      </c>
      <c r="B207" t="s">
        <v>222</v>
      </c>
      <c r="C207" t="s">
        <v>153</v>
      </c>
      <c r="D207" t="s">
        <v>154</v>
      </c>
      <c r="E207" s="1">
        <v>45765</v>
      </c>
      <c r="F207" t="s">
        <v>11</v>
      </c>
      <c r="G207">
        <v>82.78</v>
      </c>
      <c r="H207">
        <v>2025</v>
      </c>
    </row>
    <row r="208" spans="1:8" x14ac:dyDescent="0.25">
      <c r="A208">
        <v>617</v>
      </c>
      <c r="B208" t="s">
        <v>223</v>
      </c>
      <c r="C208" t="s">
        <v>156</v>
      </c>
      <c r="D208" t="s">
        <v>157</v>
      </c>
      <c r="E208" s="1">
        <v>45896</v>
      </c>
      <c r="F208" t="s">
        <v>11</v>
      </c>
      <c r="G208">
        <v>88.74</v>
      </c>
      <c r="H208">
        <v>2025</v>
      </c>
    </row>
    <row r="209" spans="1:8" x14ac:dyDescent="0.25">
      <c r="A209">
        <v>639</v>
      </c>
      <c r="B209" t="s">
        <v>224</v>
      </c>
      <c r="C209" t="s">
        <v>156</v>
      </c>
      <c r="D209" t="s">
        <v>157</v>
      </c>
      <c r="E209" s="1">
        <v>45813</v>
      </c>
      <c r="F209" t="s">
        <v>11</v>
      </c>
      <c r="G209">
        <v>82.17</v>
      </c>
      <c r="H209">
        <v>2025</v>
      </c>
    </row>
    <row r="210" spans="1:8" x14ac:dyDescent="0.25">
      <c r="A210">
        <v>652</v>
      </c>
      <c r="B210" t="s">
        <v>225</v>
      </c>
      <c r="C210" t="s">
        <v>156</v>
      </c>
      <c r="D210" t="s">
        <v>157</v>
      </c>
      <c r="E210" s="1">
        <v>45878</v>
      </c>
      <c r="F210" t="s">
        <v>11</v>
      </c>
      <c r="G210">
        <v>94.54</v>
      </c>
      <c r="H210">
        <v>2025</v>
      </c>
    </row>
    <row r="211" spans="1:8" x14ac:dyDescent="0.25">
      <c r="A211">
        <v>654</v>
      </c>
      <c r="B211" t="s">
        <v>226</v>
      </c>
      <c r="C211" t="s">
        <v>156</v>
      </c>
      <c r="D211" t="s">
        <v>157</v>
      </c>
      <c r="E211" s="1">
        <v>45775</v>
      </c>
      <c r="F211" t="s">
        <v>11</v>
      </c>
      <c r="G211">
        <v>92.02</v>
      </c>
      <c r="H211">
        <v>2025</v>
      </c>
    </row>
    <row r="212" spans="1:8" x14ac:dyDescent="0.25">
      <c r="A212">
        <v>670</v>
      </c>
      <c r="B212" t="s">
        <v>227</v>
      </c>
      <c r="C212" t="s">
        <v>156</v>
      </c>
      <c r="D212" t="s">
        <v>157</v>
      </c>
      <c r="E212" s="1">
        <v>45719</v>
      </c>
      <c r="F212" t="s">
        <v>11</v>
      </c>
      <c r="G212">
        <v>71.650000000000006</v>
      </c>
      <c r="H212">
        <v>2025</v>
      </c>
    </row>
    <row r="213" spans="1:8" hidden="1" x14ac:dyDescent="0.25">
      <c r="A213">
        <v>672</v>
      </c>
      <c r="B213" t="s">
        <v>228</v>
      </c>
      <c r="C213" t="s">
        <v>153</v>
      </c>
      <c r="D213" t="s">
        <v>154</v>
      </c>
      <c r="E213" s="1">
        <v>45867</v>
      </c>
      <c r="F213" t="s">
        <v>11</v>
      </c>
      <c r="G213">
        <v>74.84</v>
      </c>
      <c r="H213">
        <v>2025</v>
      </c>
    </row>
    <row r="214" spans="1:8" x14ac:dyDescent="0.25">
      <c r="A214">
        <v>679</v>
      </c>
      <c r="B214" t="s">
        <v>229</v>
      </c>
      <c r="C214" t="s">
        <v>156</v>
      </c>
      <c r="D214" t="s">
        <v>157</v>
      </c>
      <c r="E214" s="1">
        <v>45733</v>
      </c>
      <c r="F214" t="s">
        <v>11</v>
      </c>
      <c r="G214">
        <v>75.06</v>
      </c>
      <c r="H214">
        <v>2025</v>
      </c>
    </row>
    <row r="215" spans="1:8" x14ac:dyDescent="0.25">
      <c r="A215">
        <v>680</v>
      </c>
      <c r="B215" t="s">
        <v>230</v>
      </c>
      <c r="C215" t="s">
        <v>156</v>
      </c>
      <c r="D215" t="s">
        <v>157</v>
      </c>
      <c r="E215" s="1">
        <v>45966</v>
      </c>
      <c r="F215" t="s">
        <v>11</v>
      </c>
      <c r="G215">
        <v>73.650000000000006</v>
      </c>
      <c r="H215">
        <v>2025</v>
      </c>
    </row>
    <row r="216" spans="1:8" x14ac:dyDescent="0.25">
      <c r="A216">
        <v>688</v>
      </c>
      <c r="B216" t="s">
        <v>231</v>
      </c>
      <c r="C216" t="s">
        <v>156</v>
      </c>
      <c r="D216" t="s">
        <v>157</v>
      </c>
      <c r="E216" s="1">
        <v>45697</v>
      </c>
      <c r="F216" t="s">
        <v>11</v>
      </c>
      <c r="G216">
        <v>83.85</v>
      </c>
      <c r="H216">
        <v>2025</v>
      </c>
    </row>
    <row r="217" spans="1:8" hidden="1" x14ac:dyDescent="0.25">
      <c r="A217">
        <v>703</v>
      </c>
      <c r="B217" t="s">
        <v>232</v>
      </c>
      <c r="C217" t="s">
        <v>153</v>
      </c>
      <c r="D217" t="s">
        <v>154</v>
      </c>
      <c r="E217" s="1">
        <v>45781</v>
      </c>
      <c r="F217" t="s">
        <v>11</v>
      </c>
      <c r="G217">
        <v>70.63</v>
      </c>
      <c r="H217">
        <v>2025</v>
      </c>
    </row>
    <row r="218" spans="1:8" hidden="1" x14ac:dyDescent="0.25">
      <c r="A218">
        <v>709</v>
      </c>
      <c r="B218" t="s">
        <v>233</v>
      </c>
      <c r="C218" t="s">
        <v>153</v>
      </c>
      <c r="D218" t="s">
        <v>154</v>
      </c>
      <c r="E218" s="1">
        <v>45793</v>
      </c>
      <c r="F218" t="s">
        <v>11</v>
      </c>
      <c r="G218">
        <v>97.46</v>
      </c>
      <c r="H218">
        <v>2025</v>
      </c>
    </row>
    <row r="219" spans="1:8" hidden="1" x14ac:dyDescent="0.25">
      <c r="A219">
        <v>722</v>
      </c>
      <c r="B219" t="s">
        <v>234</v>
      </c>
      <c r="C219" t="s">
        <v>153</v>
      </c>
      <c r="D219" t="s">
        <v>154</v>
      </c>
      <c r="E219" s="1">
        <v>45920</v>
      </c>
      <c r="F219" t="s">
        <v>11</v>
      </c>
      <c r="G219">
        <v>82.38</v>
      </c>
      <c r="H219">
        <v>2025</v>
      </c>
    </row>
    <row r="220" spans="1:8" x14ac:dyDescent="0.25">
      <c r="A220">
        <v>726</v>
      </c>
      <c r="B220" t="s">
        <v>235</v>
      </c>
      <c r="C220" t="s">
        <v>156</v>
      </c>
      <c r="D220" t="s">
        <v>157</v>
      </c>
      <c r="E220" s="1">
        <v>45702</v>
      </c>
      <c r="F220" t="s">
        <v>11</v>
      </c>
      <c r="G220">
        <v>72.84</v>
      </c>
      <c r="H220">
        <v>2025</v>
      </c>
    </row>
    <row r="221" spans="1:8" x14ac:dyDescent="0.25">
      <c r="A221">
        <v>733</v>
      </c>
      <c r="B221" t="s">
        <v>236</v>
      </c>
      <c r="C221" t="s">
        <v>156</v>
      </c>
      <c r="D221" t="s">
        <v>157</v>
      </c>
      <c r="E221" s="1">
        <v>45835</v>
      </c>
      <c r="F221" t="s">
        <v>11</v>
      </c>
      <c r="G221">
        <v>83.13</v>
      </c>
      <c r="H221">
        <v>2025</v>
      </c>
    </row>
    <row r="222" spans="1:8" x14ac:dyDescent="0.25">
      <c r="A222">
        <v>736</v>
      </c>
      <c r="B222" t="s">
        <v>237</v>
      </c>
      <c r="C222" t="s">
        <v>156</v>
      </c>
      <c r="D222" t="s">
        <v>157</v>
      </c>
      <c r="E222" s="1">
        <v>45754</v>
      </c>
      <c r="F222" t="s">
        <v>11</v>
      </c>
      <c r="G222">
        <v>82.82</v>
      </c>
      <c r="H222">
        <v>2025</v>
      </c>
    </row>
    <row r="223" spans="1:8" x14ac:dyDescent="0.25">
      <c r="A223">
        <v>746</v>
      </c>
      <c r="B223" t="s">
        <v>238</v>
      </c>
      <c r="C223" t="s">
        <v>156</v>
      </c>
      <c r="D223" t="s">
        <v>157</v>
      </c>
      <c r="E223" s="1">
        <v>45913</v>
      </c>
      <c r="F223" t="s">
        <v>11</v>
      </c>
      <c r="G223">
        <v>99.36</v>
      </c>
      <c r="H223">
        <v>2025</v>
      </c>
    </row>
    <row r="224" spans="1:8" hidden="1" x14ac:dyDescent="0.25">
      <c r="A224">
        <v>749</v>
      </c>
      <c r="B224" t="s">
        <v>239</v>
      </c>
      <c r="C224" t="s">
        <v>153</v>
      </c>
      <c r="D224" t="s">
        <v>154</v>
      </c>
      <c r="E224" s="1">
        <v>45666</v>
      </c>
      <c r="F224" t="s">
        <v>11</v>
      </c>
      <c r="G224">
        <v>97.45</v>
      </c>
      <c r="H224">
        <v>2025</v>
      </c>
    </row>
    <row r="225" spans="1:8" x14ac:dyDescent="0.25">
      <c r="A225">
        <v>751</v>
      </c>
      <c r="B225" t="s">
        <v>240</v>
      </c>
      <c r="C225" t="s">
        <v>156</v>
      </c>
      <c r="D225" t="s">
        <v>157</v>
      </c>
      <c r="E225" s="1">
        <v>45850</v>
      </c>
      <c r="F225" t="s">
        <v>11</v>
      </c>
      <c r="G225">
        <v>80.95</v>
      </c>
      <c r="H225">
        <v>2025</v>
      </c>
    </row>
    <row r="226" spans="1:8" x14ac:dyDescent="0.25">
      <c r="A226">
        <v>753</v>
      </c>
      <c r="B226" t="s">
        <v>241</v>
      </c>
      <c r="C226" t="s">
        <v>156</v>
      </c>
      <c r="D226" t="s">
        <v>157</v>
      </c>
      <c r="E226" s="1">
        <v>45789</v>
      </c>
      <c r="F226" t="s">
        <v>11</v>
      </c>
      <c r="G226">
        <v>83.57</v>
      </c>
      <c r="H226">
        <v>2025</v>
      </c>
    </row>
    <row r="227" spans="1:8" x14ac:dyDescent="0.25">
      <c r="A227">
        <v>758</v>
      </c>
      <c r="B227" t="s">
        <v>242</v>
      </c>
      <c r="C227" t="s">
        <v>156</v>
      </c>
      <c r="D227" t="s">
        <v>157</v>
      </c>
      <c r="E227" s="1">
        <v>45982</v>
      </c>
      <c r="F227" t="s">
        <v>11</v>
      </c>
      <c r="G227">
        <v>80.849999999999994</v>
      </c>
      <c r="H227">
        <v>2025</v>
      </c>
    </row>
    <row r="228" spans="1:8" hidden="1" x14ac:dyDescent="0.25">
      <c r="A228">
        <v>762</v>
      </c>
      <c r="B228" t="s">
        <v>243</v>
      </c>
      <c r="C228" t="s">
        <v>153</v>
      </c>
      <c r="D228" t="s">
        <v>154</v>
      </c>
      <c r="E228" s="1">
        <v>45843</v>
      </c>
      <c r="F228" t="s">
        <v>11</v>
      </c>
      <c r="G228">
        <v>72.930000000000007</v>
      </c>
      <c r="H228">
        <v>2025</v>
      </c>
    </row>
    <row r="229" spans="1:8" x14ac:dyDescent="0.25">
      <c r="A229">
        <v>770</v>
      </c>
      <c r="B229" t="s">
        <v>244</v>
      </c>
      <c r="C229" t="s">
        <v>156</v>
      </c>
      <c r="D229" t="s">
        <v>157</v>
      </c>
      <c r="E229" s="1">
        <v>45731</v>
      </c>
      <c r="F229" t="s">
        <v>11</v>
      </c>
      <c r="G229">
        <v>93.08</v>
      </c>
      <c r="H229">
        <v>2025</v>
      </c>
    </row>
    <row r="230" spans="1:8" hidden="1" x14ac:dyDescent="0.25">
      <c r="A230">
        <v>773</v>
      </c>
      <c r="B230" t="s">
        <v>245</v>
      </c>
      <c r="C230" t="s">
        <v>153</v>
      </c>
      <c r="D230" t="s">
        <v>154</v>
      </c>
      <c r="E230" s="1">
        <v>45688</v>
      </c>
      <c r="F230" t="s">
        <v>11</v>
      </c>
      <c r="G230">
        <v>97.53</v>
      </c>
      <c r="H230">
        <v>2025</v>
      </c>
    </row>
    <row r="231" spans="1:8" hidden="1" x14ac:dyDescent="0.25">
      <c r="A231">
        <v>782</v>
      </c>
      <c r="B231" t="s">
        <v>246</v>
      </c>
      <c r="C231" t="s">
        <v>153</v>
      </c>
      <c r="D231" t="s">
        <v>154</v>
      </c>
      <c r="E231" s="1">
        <v>46018</v>
      </c>
      <c r="F231" t="s">
        <v>11</v>
      </c>
      <c r="G231">
        <v>89.28</v>
      </c>
      <c r="H231">
        <v>2025</v>
      </c>
    </row>
    <row r="232" spans="1:8" x14ac:dyDescent="0.25">
      <c r="A232">
        <v>784</v>
      </c>
      <c r="B232" t="s">
        <v>247</v>
      </c>
      <c r="C232" t="s">
        <v>156</v>
      </c>
      <c r="D232" t="s">
        <v>157</v>
      </c>
      <c r="E232" s="1">
        <v>45859</v>
      </c>
      <c r="F232" t="s">
        <v>11</v>
      </c>
      <c r="G232">
        <v>71.13</v>
      </c>
      <c r="H232">
        <v>2025</v>
      </c>
    </row>
    <row r="233" spans="1:8" hidden="1" x14ac:dyDescent="0.25">
      <c r="A233">
        <v>798</v>
      </c>
      <c r="B233" t="s">
        <v>248</v>
      </c>
      <c r="C233" t="s">
        <v>153</v>
      </c>
      <c r="D233" t="s">
        <v>154</v>
      </c>
      <c r="E233" s="1">
        <v>45761</v>
      </c>
      <c r="F233" t="s">
        <v>11</v>
      </c>
      <c r="G233">
        <v>84.91</v>
      </c>
      <c r="H233">
        <v>2025</v>
      </c>
    </row>
    <row r="234" spans="1:8" x14ac:dyDescent="0.25">
      <c r="A234">
        <v>805</v>
      </c>
      <c r="B234" t="s">
        <v>249</v>
      </c>
      <c r="C234" t="s">
        <v>156</v>
      </c>
      <c r="D234" t="s">
        <v>157</v>
      </c>
      <c r="E234" s="1">
        <v>45975</v>
      </c>
      <c r="F234" t="s">
        <v>11</v>
      </c>
      <c r="G234">
        <v>74.290000000000006</v>
      </c>
      <c r="H234">
        <v>2025</v>
      </c>
    </row>
    <row r="235" spans="1:8" hidden="1" x14ac:dyDescent="0.25">
      <c r="A235">
        <v>809</v>
      </c>
      <c r="B235" t="s">
        <v>250</v>
      </c>
      <c r="C235" t="s">
        <v>153</v>
      </c>
      <c r="D235" t="s">
        <v>154</v>
      </c>
      <c r="E235" s="1">
        <v>45690</v>
      </c>
      <c r="F235" t="s">
        <v>11</v>
      </c>
      <c r="G235">
        <v>97.3</v>
      </c>
      <c r="H235">
        <v>2025</v>
      </c>
    </row>
    <row r="236" spans="1:8" x14ac:dyDescent="0.25">
      <c r="A236">
        <v>826</v>
      </c>
      <c r="B236" t="s">
        <v>251</v>
      </c>
      <c r="C236" t="s">
        <v>156</v>
      </c>
      <c r="D236" t="s">
        <v>157</v>
      </c>
      <c r="E236" s="1">
        <v>45891</v>
      </c>
      <c r="F236" t="s">
        <v>11</v>
      </c>
      <c r="G236">
        <v>93.08</v>
      </c>
      <c r="H236">
        <v>2025</v>
      </c>
    </row>
    <row r="237" spans="1:8" hidden="1" x14ac:dyDescent="0.25">
      <c r="A237">
        <v>840</v>
      </c>
      <c r="B237" t="s">
        <v>252</v>
      </c>
      <c r="C237" t="s">
        <v>153</v>
      </c>
      <c r="D237" t="s">
        <v>154</v>
      </c>
      <c r="E237" s="1">
        <v>45658</v>
      </c>
      <c r="F237" t="s">
        <v>11</v>
      </c>
      <c r="G237">
        <v>96.84</v>
      </c>
      <c r="H237">
        <v>2025</v>
      </c>
    </row>
    <row r="238" spans="1:8" x14ac:dyDescent="0.25">
      <c r="A238">
        <v>844</v>
      </c>
      <c r="B238" t="s">
        <v>253</v>
      </c>
      <c r="C238" t="s">
        <v>156</v>
      </c>
      <c r="D238" t="s">
        <v>157</v>
      </c>
      <c r="E238" s="1">
        <v>45771</v>
      </c>
      <c r="F238" t="s">
        <v>11</v>
      </c>
      <c r="G238">
        <v>87.15</v>
      </c>
      <c r="H238">
        <v>2025</v>
      </c>
    </row>
    <row r="239" spans="1:8" x14ac:dyDescent="0.25">
      <c r="A239">
        <v>860</v>
      </c>
      <c r="B239" t="s">
        <v>254</v>
      </c>
      <c r="C239" t="s">
        <v>156</v>
      </c>
      <c r="D239" t="s">
        <v>157</v>
      </c>
      <c r="E239" s="1">
        <v>45799</v>
      </c>
      <c r="F239" t="s">
        <v>11</v>
      </c>
      <c r="G239">
        <v>98.55</v>
      </c>
      <c r="H239">
        <v>2025</v>
      </c>
    </row>
    <row r="240" spans="1:8" x14ac:dyDescent="0.25">
      <c r="A240">
        <v>862</v>
      </c>
      <c r="B240" t="s">
        <v>255</v>
      </c>
      <c r="C240" t="s">
        <v>156</v>
      </c>
      <c r="D240" t="s">
        <v>157</v>
      </c>
      <c r="E240" s="1">
        <v>45681</v>
      </c>
      <c r="F240" t="s">
        <v>11</v>
      </c>
      <c r="G240">
        <v>85.1</v>
      </c>
      <c r="H240">
        <v>2025</v>
      </c>
    </row>
    <row r="241" spans="1:8" hidden="1" x14ac:dyDescent="0.25">
      <c r="A241">
        <v>863</v>
      </c>
      <c r="B241" t="s">
        <v>256</v>
      </c>
      <c r="C241" t="s">
        <v>153</v>
      </c>
      <c r="D241" t="s">
        <v>154</v>
      </c>
      <c r="E241" s="1">
        <v>45819</v>
      </c>
      <c r="F241" t="s">
        <v>11</v>
      </c>
      <c r="G241">
        <v>72.62</v>
      </c>
      <c r="H241">
        <v>2025</v>
      </c>
    </row>
    <row r="242" spans="1:8" hidden="1" x14ac:dyDescent="0.25">
      <c r="A242">
        <v>876</v>
      </c>
      <c r="B242" t="s">
        <v>257</v>
      </c>
      <c r="C242" t="s">
        <v>153</v>
      </c>
      <c r="D242" t="s">
        <v>154</v>
      </c>
      <c r="E242" s="1">
        <v>45985</v>
      </c>
      <c r="F242" t="s">
        <v>11</v>
      </c>
      <c r="G242">
        <v>75.89</v>
      </c>
      <c r="H242">
        <v>2025</v>
      </c>
    </row>
    <row r="243" spans="1:8" x14ac:dyDescent="0.25">
      <c r="A243">
        <v>907</v>
      </c>
      <c r="B243" t="s">
        <v>258</v>
      </c>
      <c r="C243" t="s">
        <v>156</v>
      </c>
      <c r="D243" t="s">
        <v>157</v>
      </c>
      <c r="E243" s="1">
        <v>46012</v>
      </c>
      <c r="F243" t="s">
        <v>11</v>
      </c>
      <c r="G243">
        <v>71.58</v>
      </c>
      <c r="H243">
        <v>2025</v>
      </c>
    </row>
    <row r="244" spans="1:8" x14ac:dyDescent="0.25">
      <c r="A244">
        <v>933</v>
      </c>
      <c r="B244" t="s">
        <v>259</v>
      </c>
      <c r="C244" t="s">
        <v>156</v>
      </c>
      <c r="D244" t="s">
        <v>157</v>
      </c>
      <c r="E244" s="1">
        <v>45711</v>
      </c>
      <c r="F244" t="s">
        <v>11</v>
      </c>
      <c r="G244">
        <v>86.76</v>
      </c>
      <c r="H244">
        <v>2025</v>
      </c>
    </row>
    <row r="245" spans="1:8" hidden="1" x14ac:dyDescent="0.25">
      <c r="A245">
        <v>944</v>
      </c>
      <c r="B245" t="s">
        <v>260</v>
      </c>
      <c r="C245" t="s">
        <v>153</v>
      </c>
      <c r="D245" t="s">
        <v>154</v>
      </c>
      <c r="E245" s="1">
        <v>46019</v>
      </c>
      <c r="F245" t="s">
        <v>11</v>
      </c>
      <c r="G245">
        <v>89.05</v>
      </c>
      <c r="H245">
        <v>2025</v>
      </c>
    </row>
    <row r="246" spans="1:8" hidden="1" x14ac:dyDescent="0.25">
      <c r="A246">
        <v>951</v>
      </c>
      <c r="B246" t="s">
        <v>261</v>
      </c>
      <c r="C246" t="s">
        <v>153</v>
      </c>
      <c r="D246" t="s">
        <v>154</v>
      </c>
      <c r="E246" s="1">
        <v>45752</v>
      </c>
      <c r="F246" t="s">
        <v>11</v>
      </c>
      <c r="G246">
        <v>85.2</v>
      </c>
      <c r="H246">
        <v>2025</v>
      </c>
    </row>
    <row r="247" spans="1:8" hidden="1" x14ac:dyDescent="0.25">
      <c r="A247">
        <v>964</v>
      </c>
      <c r="B247" t="s">
        <v>262</v>
      </c>
      <c r="C247" t="s">
        <v>153</v>
      </c>
      <c r="D247" t="s">
        <v>154</v>
      </c>
      <c r="E247" s="1">
        <v>45821</v>
      </c>
      <c r="F247" t="s">
        <v>11</v>
      </c>
      <c r="G247">
        <v>80.900000000000006</v>
      </c>
      <c r="H247">
        <v>2025</v>
      </c>
    </row>
    <row r="248" spans="1:8" hidden="1" x14ac:dyDescent="0.25">
      <c r="A248">
        <v>969</v>
      </c>
      <c r="B248" t="s">
        <v>263</v>
      </c>
      <c r="C248" t="s">
        <v>153</v>
      </c>
      <c r="D248" t="s">
        <v>154</v>
      </c>
      <c r="E248" s="1">
        <v>45985</v>
      </c>
      <c r="F248" t="s">
        <v>11</v>
      </c>
      <c r="G248">
        <v>96.7</v>
      </c>
      <c r="H248">
        <v>2025</v>
      </c>
    </row>
    <row r="249" spans="1:8" x14ac:dyDescent="0.25">
      <c r="A249">
        <v>973</v>
      </c>
      <c r="B249" t="s">
        <v>264</v>
      </c>
      <c r="C249" t="s">
        <v>156</v>
      </c>
      <c r="D249" t="s">
        <v>157</v>
      </c>
      <c r="E249" s="1">
        <v>45799</v>
      </c>
      <c r="F249" t="s">
        <v>11</v>
      </c>
      <c r="G249">
        <v>94.29</v>
      </c>
      <c r="H249">
        <v>2025</v>
      </c>
    </row>
    <row r="250" spans="1:8" hidden="1" x14ac:dyDescent="0.25">
      <c r="A250">
        <v>978</v>
      </c>
      <c r="B250" t="s">
        <v>265</v>
      </c>
      <c r="C250" t="s">
        <v>153</v>
      </c>
      <c r="D250" t="s">
        <v>154</v>
      </c>
      <c r="E250" s="1">
        <v>45776</v>
      </c>
      <c r="F250" t="s">
        <v>11</v>
      </c>
      <c r="G250">
        <v>92.13</v>
      </c>
      <c r="H250">
        <v>2025</v>
      </c>
    </row>
    <row r="251" spans="1:8" x14ac:dyDescent="0.25">
      <c r="A251">
        <v>979</v>
      </c>
      <c r="B251" t="s">
        <v>266</v>
      </c>
      <c r="C251" t="s">
        <v>156</v>
      </c>
      <c r="D251" t="s">
        <v>157</v>
      </c>
      <c r="E251" s="1">
        <v>45694</v>
      </c>
      <c r="F251" t="s">
        <v>11</v>
      </c>
      <c r="G251">
        <v>86.33</v>
      </c>
      <c r="H251">
        <v>2025</v>
      </c>
    </row>
    <row r="252" spans="1:8" x14ac:dyDescent="0.25">
      <c r="A252">
        <v>980</v>
      </c>
      <c r="B252" t="s">
        <v>267</v>
      </c>
      <c r="C252" t="s">
        <v>156</v>
      </c>
      <c r="D252" t="s">
        <v>157</v>
      </c>
      <c r="E252" s="1">
        <v>45909</v>
      </c>
      <c r="F252" t="s">
        <v>11</v>
      </c>
      <c r="G252">
        <v>88.78</v>
      </c>
      <c r="H252">
        <v>2025</v>
      </c>
    </row>
    <row r="253" spans="1:8" x14ac:dyDescent="0.25">
      <c r="A253">
        <v>989</v>
      </c>
      <c r="B253" t="s">
        <v>268</v>
      </c>
      <c r="C253" t="s">
        <v>156</v>
      </c>
      <c r="D253" t="s">
        <v>157</v>
      </c>
      <c r="E253" s="1">
        <v>45822</v>
      </c>
      <c r="F253" t="s">
        <v>11</v>
      </c>
      <c r="G253">
        <v>97.4</v>
      </c>
      <c r="H253">
        <v>2025</v>
      </c>
    </row>
    <row r="254" spans="1:8" hidden="1" x14ac:dyDescent="0.25">
      <c r="A254">
        <v>2</v>
      </c>
      <c r="B254" t="s">
        <v>269</v>
      </c>
      <c r="C254" t="s">
        <v>85</v>
      </c>
      <c r="D254" t="s">
        <v>86</v>
      </c>
      <c r="E254" s="1">
        <v>45871</v>
      </c>
      <c r="F254" t="s">
        <v>270</v>
      </c>
      <c r="G254">
        <v>88.3</v>
      </c>
      <c r="H254">
        <v>2025</v>
      </c>
    </row>
    <row r="255" spans="1:8" x14ac:dyDescent="0.25">
      <c r="A255">
        <v>9</v>
      </c>
      <c r="B255" t="s">
        <v>271</v>
      </c>
      <c r="C255" t="s">
        <v>156</v>
      </c>
      <c r="D255" t="s">
        <v>157</v>
      </c>
      <c r="E255" s="1">
        <v>45888</v>
      </c>
      <c r="F255" t="s">
        <v>270</v>
      </c>
      <c r="G255">
        <v>98.5</v>
      </c>
      <c r="H255">
        <v>2025</v>
      </c>
    </row>
    <row r="256" spans="1:8" hidden="1" x14ac:dyDescent="0.25">
      <c r="A256">
        <v>28</v>
      </c>
      <c r="B256" t="s">
        <v>272</v>
      </c>
      <c r="C256" t="s">
        <v>153</v>
      </c>
      <c r="D256" t="s">
        <v>154</v>
      </c>
      <c r="E256" s="1">
        <v>46018</v>
      </c>
      <c r="F256" t="s">
        <v>270</v>
      </c>
      <c r="G256">
        <v>80.010000000000005</v>
      </c>
      <c r="H256">
        <v>2025</v>
      </c>
    </row>
    <row r="257" spans="1:8" hidden="1" x14ac:dyDescent="0.25">
      <c r="A257">
        <v>36</v>
      </c>
      <c r="B257" t="s">
        <v>273</v>
      </c>
      <c r="C257" t="s">
        <v>85</v>
      </c>
      <c r="D257" t="s">
        <v>86</v>
      </c>
      <c r="E257" s="1">
        <v>45925</v>
      </c>
      <c r="F257" t="s">
        <v>270</v>
      </c>
      <c r="G257">
        <v>95.99</v>
      </c>
      <c r="H257">
        <v>2025</v>
      </c>
    </row>
    <row r="258" spans="1:8" hidden="1" x14ac:dyDescent="0.25">
      <c r="A258">
        <v>57</v>
      </c>
      <c r="B258" t="s">
        <v>274</v>
      </c>
      <c r="C258" t="s">
        <v>85</v>
      </c>
      <c r="D258" t="s">
        <v>86</v>
      </c>
      <c r="E258" s="1">
        <v>45979</v>
      </c>
      <c r="F258" t="s">
        <v>270</v>
      </c>
      <c r="G258">
        <v>78.86</v>
      </c>
      <c r="H258">
        <v>2025</v>
      </c>
    </row>
    <row r="259" spans="1:8" hidden="1" x14ac:dyDescent="0.25">
      <c r="A259">
        <v>90</v>
      </c>
      <c r="B259" t="s">
        <v>275</v>
      </c>
      <c r="C259" t="s">
        <v>85</v>
      </c>
      <c r="D259" t="s">
        <v>86</v>
      </c>
      <c r="E259" s="1">
        <v>46013</v>
      </c>
      <c r="F259" t="s">
        <v>270</v>
      </c>
      <c r="G259">
        <v>82.33</v>
      </c>
      <c r="H259">
        <v>2025</v>
      </c>
    </row>
    <row r="260" spans="1:8" hidden="1" x14ac:dyDescent="0.25">
      <c r="A260">
        <v>104</v>
      </c>
      <c r="B260" t="s">
        <v>276</v>
      </c>
      <c r="C260" t="s">
        <v>85</v>
      </c>
      <c r="D260" t="s">
        <v>86</v>
      </c>
      <c r="E260" s="1">
        <v>45932</v>
      </c>
      <c r="F260" t="s">
        <v>270</v>
      </c>
      <c r="G260">
        <v>87.98</v>
      </c>
      <c r="H260">
        <v>2025</v>
      </c>
    </row>
    <row r="261" spans="1:8" hidden="1" x14ac:dyDescent="0.25">
      <c r="A261">
        <v>108</v>
      </c>
      <c r="B261" t="s">
        <v>277</v>
      </c>
      <c r="C261" t="s">
        <v>85</v>
      </c>
      <c r="D261" t="s">
        <v>86</v>
      </c>
      <c r="E261" s="1">
        <v>45826</v>
      </c>
      <c r="F261" t="s">
        <v>270</v>
      </c>
      <c r="G261">
        <v>83.89</v>
      </c>
      <c r="H261">
        <v>2025</v>
      </c>
    </row>
    <row r="262" spans="1:8" hidden="1" x14ac:dyDescent="0.25">
      <c r="A262">
        <v>113</v>
      </c>
      <c r="B262" t="s">
        <v>278</v>
      </c>
      <c r="C262" t="s">
        <v>85</v>
      </c>
      <c r="D262" t="s">
        <v>86</v>
      </c>
      <c r="E262" s="1">
        <v>45886</v>
      </c>
      <c r="F262" t="s">
        <v>270</v>
      </c>
      <c r="G262">
        <v>84.12</v>
      </c>
      <c r="H262">
        <v>2025</v>
      </c>
    </row>
    <row r="263" spans="1:8" hidden="1" x14ac:dyDescent="0.25">
      <c r="A263">
        <v>118</v>
      </c>
      <c r="B263" t="s">
        <v>279</v>
      </c>
      <c r="C263" t="s">
        <v>85</v>
      </c>
      <c r="D263" t="s">
        <v>86</v>
      </c>
      <c r="E263" s="1">
        <v>45824</v>
      </c>
      <c r="F263" t="s">
        <v>270</v>
      </c>
      <c r="G263">
        <v>99.43</v>
      </c>
      <c r="H263">
        <v>2025</v>
      </c>
    </row>
    <row r="264" spans="1:8" x14ac:dyDescent="0.25">
      <c r="A264">
        <v>122</v>
      </c>
      <c r="B264" t="s">
        <v>280</v>
      </c>
      <c r="C264" t="s">
        <v>156</v>
      </c>
      <c r="D264" t="s">
        <v>157</v>
      </c>
      <c r="E264" s="1">
        <v>45831</v>
      </c>
      <c r="F264" t="s">
        <v>270</v>
      </c>
      <c r="G264">
        <v>88.81</v>
      </c>
      <c r="H264">
        <v>2025</v>
      </c>
    </row>
    <row r="265" spans="1:8" x14ac:dyDescent="0.25">
      <c r="A265">
        <v>127</v>
      </c>
      <c r="B265" t="s">
        <v>281</v>
      </c>
      <c r="C265" t="s">
        <v>156</v>
      </c>
      <c r="D265" t="s">
        <v>157</v>
      </c>
      <c r="E265" s="1">
        <v>45783</v>
      </c>
      <c r="F265" t="s">
        <v>270</v>
      </c>
      <c r="G265">
        <v>80.05</v>
      </c>
      <c r="H265">
        <v>2025</v>
      </c>
    </row>
    <row r="266" spans="1:8" hidden="1" x14ac:dyDescent="0.25">
      <c r="A266">
        <v>138</v>
      </c>
      <c r="B266" t="s">
        <v>282</v>
      </c>
      <c r="C266" t="s">
        <v>153</v>
      </c>
      <c r="D266" t="s">
        <v>154</v>
      </c>
      <c r="E266" s="1">
        <v>45671</v>
      </c>
      <c r="F266" t="s">
        <v>270</v>
      </c>
      <c r="G266">
        <v>93.43</v>
      </c>
      <c r="H266">
        <v>2025</v>
      </c>
    </row>
    <row r="267" spans="1:8" hidden="1" x14ac:dyDescent="0.25">
      <c r="A267">
        <v>140</v>
      </c>
      <c r="B267" t="s">
        <v>283</v>
      </c>
      <c r="C267" t="s">
        <v>153</v>
      </c>
      <c r="D267" t="s">
        <v>154</v>
      </c>
      <c r="E267" s="1">
        <v>45825</v>
      </c>
      <c r="F267" t="s">
        <v>270</v>
      </c>
      <c r="G267">
        <v>94.84</v>
      </c>
      <c r="H267">
        <v>2025</v>
      </c>
    </row>
    <row r="268" spans="1:8" x14ac:dyDescent="0.25">
      <c r="A268">
        <v>144</v>
      </c>
      <c r="B268" t="s">
        <v>284</v>
      </c>
      <c r="C268" t="s">
        <v>156</v>
      </c>
      <c r="D268" t="s">
        <v>157</v>
      </c>
      <c r="E268" s="1">
        <v>45817</v>
      </c>
      <c r="F268" t="s">
        <v>270</v>
      </c>
      <c r="G268">
        <v>72.72</v>
      </c>
      <c r="H268">
        <v>2025</v>
      </c>
    </row>
    <row r="269" spans="1:8" hidden="1" x14ac:dyDescent="0.25">
      <c r="A269">
        <v>145</v>
      </c>
      <c r="B269" t="s">
        <v>285</v>
      </c>
      <c r="C269" t="s">
        <v>153</v>
      </c>
      <c r="D269" t="s">
        <v>154</v>
      </c>
      <c r="E269" s="1">
        <v>45857</v>
      </c>
      <c r="F269" t="s">
        <v>270</v>
      </c>
      <c r="G269">
        <v>79.81</v>
      </c>
      <c r="H269">
        <v>2025</v>
      </c>
    </row>
    <row r="270" spans="1:8" hidden="1" x14ac:dyDescent="0.25">
      <c r="A270">
        <v>160</v>
      </c>
      <c r="B270" t="s">
        <v>286</v>
      </c>
      <c r="C270" t="s">
        <v>85</v>
      </c>
      <c r="D270" t="s">
        <v>86</v>
      </c>
      <c r="E270" s="1">
        <v>45791</v>
      </c>
      <c r="F270" t="s">
        <v>270</v>
      </c>
      <c r="G270">
        <v>85.7</v>
      </c>
      <c r="H270">
        <v>2025</v>
      </c>
    </row>
    <row r="271" spans="1:8" x14ac:dyDescent="0.25">
      <c r="A271">
        <v>180</v>
      </c>
      <c r="B271" t="s">
        <v>287</v>
      </c>
      <c r="C271" t="s">
        <v>156</v>
      </c>
      <c r="D271" t="s">
        <v>157</v>
      </c>
      <c r="E271" s="1">
        <v>45972</v>
      </c>
      <c r="F271" t="s">
        <v>270</v>
      </c>
      <c r="G271">
        <v>71.75</v>
      </c>
      <c r="H271">
        <v>2025</v>
      </c>
    </row>
    <row r="272" spans="1:8" x14ac:dyDescent="0.25">
      <c r="A272">
        <v>183</v>
      </c>
      <c r="B272" t="s">
        <v>288</v>
      </c>
      <c r="C272" t="s">
        <v>156</v>
      </c>
      <c r="D272" t="s">
        <v>157</v>
      </c>
      <c r="E272" s="1">
        <v>45674</v>
      </c>
      <c r="F272" t="s">
        <v>270</v>
      </c>
      <c r="G272">
        <v>82.77</v>
      </c>
      <c r="H272">
        <v>2025</v>
      </c>
    </row>
    <row r="273" spans="1:8" hidden="1" x14ac:dyDescent="0.25">
      <c r="A273">
        <v>193</v>
      </c>
      <c r="B273" t="s">
        <v>289</v>
      </c>
      <c r="C273" t="s">
        <v>153</v>
      </c>
      <c r="D273" t="s">
        <v>154</v>
      </c>
      <c r="E273" s="1">
        <v>45772</v>
      </c>
      <c r="F273" t="s">
        <v>270</v>
      </c>
      <c r="G273">
        <v>98.17</v>
      </c>
      <c r="H273">
        <v>2025</v>
      </c>
    </row>
    <row r="274" spans="1:8" x14ac:dyDescent="0.25">
      <c r="A274">
        <v>194</v>
      </c>
      <c r="B274" t="s">
        <v>290</v>
      </c>
      <c r="C274" t="s">
        <v>156</v>
      </c>
      <c r="D274" t="s">
        <v>157</v>
      </c>
      <c r="E274" s="1">
        <v>45658</v>
      </c>
      <c r="F274" t="s">
        <v>270</v>
      </c>
      <c r="G274">
        <v>97.37</v>
      </c>
      <c r="H274">
        <v>2025</v>
      </c>
    </row>
    <row r="275" spans="1:8" x14ac:dyDescent="0.25">
      <c r="A275">
        <v>200</v>
      </c>
      <c r="B275" t="s">
        <v>291</v>
      </c>
      <c r="C275" t="s">
        <v>156</v>
      </c>
      <c r="D275" t="s">
        <v>157</v>
      </c>
      <c r="E275" s="1">
        <v>45829</v>
      </c>
      <c r="F275" t="s">
        <v>270</v>
      </c>
      <c r="G275">
        <v>98.73</v>
      </c>
      <c r="H275">
        <v>2025</v>
      </c>
    </row>
    <row r="276" spans="1:8" hidden="1" x14ac:dyDescent="0.25">
      <c r="A276">
        <v>211</v>
      </c>
      <c r="B276" t="s">
        <v>292</v>
      </c>
      <c r="C276" t="s">
        <v>85</v>
      </c>
      <c r="D276" t="s">
        <v>86</v>
      </c>
      <c r="E276" s="1">
        <v>45959</v>
      </c>
      <c r="F276" t="s">
        <v>270</v>
      </c>
      <c r="G276">
        <v>82.09</v>
      </c>
      <c r="H276">
        <v>2025</v>
      </c>
    </row>
    <row r="277" spans="1:8" x14ac:dyDescent="0.25">
      <c r="A277">
        <v>217</v>
      </c>
      <c r="B277" t="s">
        <v>293</v>
      </c>
      <c r="C277" t="s">
        <v>156</v>
      </c>
      <c r="D277" t="s">
        <v>157</v>
      </c>
      <c r="E277" s="1">
        <v>45665</v>
      </c>
      <c r="F277" t="s">
        <v>270</v>
      </c>
      <c r="G277">
        <v>98.87</v>
      </c>
      <c r="H277">
        <v>2025</v>
      </c>
    </row>
    <row r="278" spans="1:8" x14ac:dyDescent="0.25">
      <c r="A278">
        <v>233</v>
      </c>
      <c r="B278" t="s">
        <v>294</v>
      </c>
      <c r="C278" t="s">
        <v>156</v>
      </c>
      <c r="D278" t="s">
        <v>157</v>
      </c>
      <c r="E278" s="1">
        <v>45813</v>
      </c>
      <c r="F278" t="s">
        <v>270</v>
      </c>
      <c r="G278">
        <v>87.65</v>
      </c>
      <c r="H278">
        <v>2025</v>
      </c>
    </row>
    <row r="279" spans="1:8" hidden="1" x14ac:dyDescent="0.25">
      <c r="A279">
        <v>237</v>
      </c>
      <c r="B279" t="s">
        <v>295</v>
      </c>
      <c r="C279" t="s">
        <v>153</v>
      </c>
      <c r="D279" t="s">
        <v>154</v>
      </c>
      <c r="E279" s="1">
        <v>45970</v>
      </c>
      <c r="F279" t="s">
        <v>270</v>
      </c>
      <c r="G279">
        <v>99.34</v>
      </c>
      <c r="H279">
        <v>2025</v>
      </c>
    </row>
    <row r="280" spans="1:8" hidden="1" x14ac:dyDescent="0.25">
      <c r="A280">
        <v>239</v>
      </c>
      <c r="B280" t="s">
        <v>296</v>
      </c>
      <c r="C280" t="s">
        <v>85</v>
      </c>
      <c r="D280" t="s">
        <v>86</v>
      </c>
      <c r="E280" s="1">
        <v>45783</v>
      </c>
      <c r="F280" t="s">
        <v>270</v>
      </c>
      <c r="G280">
        <v>77.180000000000007</v>
      </c>
      <c r="H280">
        <v>2025</v>
      </c>
    </row>
    <row r="281" spans="1:8" hidden="1" x14ac:dyDescent="0.25">
      <c r="A281">
        <v>241</v>
      </c>
      <c r="B281" t="s">
        <v>297</v>
      </c>
      <c r="C281" t="s">
        <v>85</v>
      </c>
      <c r="D281" t="s">
        <v>86</v>
      </c>
      <c r="E281" s="1">
        <v>45806</v>
      </c>
      <c r="F281" t="s">
        <v>270</v>
      </c>
      <c r="G281">
        <v>74.78</v>
      </c>
      <c r="H281">
        <v>2025</v>
      </c>
    </row>
    <row r="282" spans="1:8" hidden="1" x14ac:dyDescent="0.25">
      <c r="A282">
        <v>242</v>
      </c>
      <c r="B282" t="s">
        <v>298</v>
      </c>
      <c r="C282" t="s">
        <v>85</v>
      </c>
      <c r="D282" t="s">
        <v>86</v>
      </c>
      <c r="E282" s="1">
        <v>45914</v>
      </c>
      <c r="F282" t="s">
        <v>270</v>
      </c>
      <c r="G282">
        <v>87.05</v>
      </c>
      <c r="H282">
        <v>2025</v>
      </c>
    </row>
    <row r="283" spans="1:8" x14ac:dyDescent="0.25">
      <c r="A283">
        <v>255</v>
      </c>
      <c r="B283" t="s">
        <v>299</v>
      </c>
      <c r="C283" t="s">
        <v>156</v>
      </c>
      <c r="D283" t="s">
        <v>157</v>
      </c>
      <c r="E283" s="1">
        <v>45968</v>
      </c>
      <c r="F283" t="s">
        <v>270</v>
      </c>
      <c r="G283">
        <v>73.16</v>
      </c>
      <c r="H283">
        <v>2025</v>
      </c>
    </row>
    <row r="284" spans="1:8" hidden="1" x14ac:dyDescent="0.25">
      <c r="A284">
        <v>256</v>
      </c>
      <c r="B284" t="s">
        <v>300</v>
      </c>
      <c r="C284" t="s">
        <v>85</v>
      </c>
      <c r="D284" t="s">
        <v>86</v>
      </c>
      <c r="E284" s="1">
        <v>45791</v>
      </c>
      <c r="F284" t="s">
        <v>270</v>
      </c>
      <c r="G284">
        <v>75.63</v>
      </c>
      <c r="H284">
        <v>2025</v>
      </c>
    </row>
    <row r="285" spans="1:8" x14ac:dyDescent="0.25">
      <c r="A285">
        <v>259</v>
      </c>
      <c r="B285" t="s">
        <v>301</v>
      </c>
      <c r="C285" t="s">
        <v>156</v>
      </c>
      <c r="D285" t="s">
        <v>157</v>
      </c>
      <c r="E285" s="1">
        <v>45925</v>
      </c>
      <c r="F285" t="s">
        <v>270</v>
      </c>
      <c r="G285">
        <v>96.2</v>
      </c>
      <c r="H285">
        <v>2025</v>
      </c>
    </row>
    <row r="286" spans="1:8" x14ac:dyDescent="0.25">
      <c r="A286">
        <v>262</v>
      </c>
      <c r="B286" t="s">
        <v>302</v>
      </c>
      <c r="C286" t="s">
        <v>156</v>
      </c>
      <c r="D286" t="s">
        <v>157</v>
      </c>
      <c r="E286" s="1">
        <v>46012</v>
      </c>
      <c r="F286" t="s">
        <v>270</v>
      </c>
      <c r="G286">
        <v>81.55</v>
      </c>
      <c r="H286">
        <v>2025</v>
      </c>
    </row>
    <row r="287" spans="1:8" hidden="1" x14ac:dyDescent="0.25">
      <c r="A287">
        <v>267</v>
      </c>
      <c r="B287" t="s">
        <v>303</v>
      </c>
      <c r="C287" t="s">
        <v>85</v>
      </c>
      <c r="D287" t="s">
        <v>86</v>
      </c>
      <c r="E287" s="1">
        <v>45682</v>
      </c>
      <c r="F287" t="s">
        <v>270</v>
      </c>
      <c r="G287">
        <v>74.900000000000006</v>
      </c>
      <c r="H287">
        <v>2025</v>
      </c>
    </row>
    <row r="288" spans="1:8" hidden="1" x14ac:dyDescent="0.25">
      <c r="A288">
        <v>275</v>
      </c>
      <c r="B288" t="s">
        <v>304</v>
      </c>
      <c r="C288" t="s">
        <v>153</v>
      </c>
      <c r="D288" t="s">
        <v>154</v>
      </c>
      <c r="E288" s="1">
        <v>45812</v>
      </c>
      <c r="F288" t="s">
        <v>270</v>
      </c>
      <c r="G288">
        <v>98.69</v>
      </c>
      <c r="H288">
        <v>2025</v>
      </c>
    </row>
    <row r="289" spans="1:8" hidden="1" x14ac:dyDescent="0.25">
      <c r="A289">
        <v>277</v>
      </c>
      <c r="B289" t="s">
        <v>305</v>
      </c>
      <c r="C289" t="s">
        <v>85</v>
      </c>
      <c r="D289" t="s">
        <v>86</v>
      </c>
      <c r="E289" s="1">
        <v>45980</v>
      </c>
      <c r="F289" t="s">
        <v>270</v>
      </c>
      <c r="G289">
        <v>78.709999999999994</v>
      </c>
      <c r="H289">
        <v>2025</v>
      </c>
    </row>
    <row r="290" spans="1:8" hidden="1" x14ac:dyDescent="0.25">
      <c r="A290">
        <v>288</v>
      </c>
      <c r="B290" t="s">
        <v>306</v>
      </c>
      <c r="C290" t="s">
        <v>85</v>
      </c>
      <c r="D290" t="s">
        <v>86</v>
      </c>
      <c r="E290" s="1">
        <v>45981</v>
      </c>
      <c r="F290" t="s">
        <v>270</v>
      </c>
      <c r="G290">
        <v>92.82</v>
      </c>
      <c r="H290">
        <v>2025</v>
      </c>
    </row>
    <row r="291" spans="1:8" hidden="1" x14ac:dyDescent="0.25">
      <c r="A291">
        <v>292</v>
      </c>
      <c r="B291" t="s">
        <v>307</v>
      </c>
      <c r="C291" t="s">
        <v>153</v>
      </c>
      <c r="D291" t="s">
        <v>154</v>
      </c>
      <c r="E291" s="1">
        <v>45866</v>
      </c>
      <c r="F291" t="s">
        <v>270</v>
      </c>
      <c r="G291">
        <v>93.94</v>
      </c>
      <c r="H291">
        <v>2025</v>
      </c>
    </row>
    <row r="292" spans="1:8" x14ac:dyDescent="0.25">
      <c r="A292">
        <v>315</v>
      </c>
      <c r="B292" t="s">
        <v>308</v>
      </c>
      <c r="C292" t="s">
        <v>156</v>
      </c>
      <c r="D292" t="s">
        <v>157</v>
      </c>
      <c r="E292" s="1">
        <v>45777</v>
      </c>
      <c r="F292" t="s">
        <v>270</v>
      </c>
      <c r="G292">
        <v>80.17</v>
      </c>
      <c r="H292">
        <v>2025</v>
      </c>
    </row>
    <row r="293" spans="1:8" hidden="1" x14ac:dyDescent="0.25">
      <c r="A293">
        <v>317</v>
      </c>
      <c r="B293" t="s">
        <v>309</v>
      </c>
      <c r="C293" t="s">
        <v>153</v>
      </c>
      <c r="D293" t="s">
        <v>154</v>
      </c>
      <c r="E293" s="1">
        <v>45772</v>
      </c>
      <c r="F293" t="s">
        <v>270</v>
      </c>
      <c r="G293">
        <v>86.86</v>
      </c>
      <c r="H293">
        <v>2025</v>
      </c>
    </row>
    <row r="294" spans="1:8" hidden="1" x14ac:dyDescent="0.25">
      <c r="A294">
        <v>321</v>
      </c>
      <c r="B294" t="s">
        <v>310</v>
      </c>
      <c r="C294" t="s">
        <v>153</v>
      </c>
      <c r="D294" t="s">
        <v>154</v>
      </c>
      <c r="E294" s="1">
        <v>45931</v>
      </c>
      <c r="F294" t="s">
        <v>270</v>
      </c>
      <c r="G294">
        <v>73.02</v>
      </c>
      <c r="H294">
        <v>2025</v>
      </c>
    </row>
    <row r="295" spans="1:8" hidden="1" x14ac:dyDescent="0.25">
      <c r="A295">
        <v>322</v>
      </c>
      <c r="B295" t="s">
        <v>311</v>
      </c>
      <c r="C295" t="s">
        <v>85</v>
      </c>
      <c r="D295" t="s">
        <v>86</v>
      </c>
      <c r="E295" s="1">
        <v>45849</v>
      </c>
      <c r="F295" t="s">
        <v>270</v>
      </c>
      <c r="G295">
        <v>96.49</v>
      </c>
      <c r="H295">
        <v>2025</v>
      </c>
    </row>
    <row r="296" spans="1:8" hidden="1" x14ac:dyDescent="0.25">
      <c r="A296">
        <v>333</v>
      </c>
      <c r="B296" t="s">
        <v>312</v>
      </c>
      <c r="C296" t="s">
        <v>153</v>
      </c>
      <c r="D296" t="s">
        <v>154</v>
      </c>
      <c r="E296" s="1">
        <v>45860</v>
      </c>
      <c r="F296" t="s">
        <v>270</v>
      </c>
      <c r="G296">
        <v>71.34</v>
      </c>
      <c r="H296">
        <v>2025</v>
      </c>
    </row>
    <row r="297" spans="1:8" x14ac:dyDescent="0.25">
      <c r="A297">
        <v>335</v>
      </c>
      <c r="B297" t="s">
        <v>313</v>
      </c>
      <c r="C297" t="s">
        <v>156</v>
      </c>
      <c r="D297" t="s">
        <v>157</v>
      </c>
      <c r="E297" s="1">
        <v>45724</v>
      </c>
      <c r="F297" t="s">
        <v>270</v>
      </c>
      <c r="G297">
        <v>79.67</v>
      </c>
      <c r="H297">
        <v>2025</v>
      </c>
    </row>
    <row r="298" spans="1:8" x14ac:dyDescent="0.25">
      <c r="A298">
        <v>365</v>
      </c>
      <c r="B298" t="s">
        <v>314</v>
      </c>
      <c r="C298" t="s">
        <v>156</v>
      </c>
      <c r="D298" t="s">
        <v>157</v>
      </c>
      <c r="E298" s="1">
        <v>45853</v>
      </c>
      <c r="F298" t="s">
        <v>270</v>
      </c>
      <c r="G298">
        <v>73.650000000000006</v>
      </c>
      <c r="H298">
        <v>2025</v>
      </c>
    </row>
    <row r="299" spans="1:8" hidden="1" x14ac:dyDescent="0.25">
      <c r="A299">
        <v>391</v>
      </c>
      <c r="B299" t="s">
        <v>315</v>
      </c>
      <c r="C299" t="s">
        <v>85</v>
      </c>
      <c r="D299" t="s">
        <v>86</v>
      </c>
      <c r="E299" s="1">
        <v>45669</v>
      </c>
      <c r="F299" t="s">
        <v>270</v>
      </c>
      <c r="G299">
        <v>71.39</v>
      </c>
      <c r="H299">
        <v>2025</v>
      </c>
    </row>
    <row r="300" spans="1:8" hidden="1" x14ac:dyDescent="0.25">
      <c r="A300">
        <v>395</v>
      </c>
      <c r="B300" t="s">
        <v>316</v>
      </c>
      <c r="C300" t="s">
        <v>153</v>
      </c>
      <c r="D300" t="s">
        <v>154</v>
      </c>
      <c r="E300" s="1">
        <v>45905</v>
      </c>
      <c r="F300" t="s">
        <v>270</v>
      </c>
      <c r="G300">
        <v>72.2</v>
      </c>
      <c r="H300">
        <v>2025</v>
      </c>
    </row>
    <row r="301" spans="1:8" x14ac:dyDescent="0.25">
      <c r="A301">
        <v>410</v>
      </c>
      <c r="B301" t="s">
        <v>317</v>
      </c>
      <c r="C301" t="s">
        <v>156</v>
      </c>
      <c r="D301" t="s">
        <v>157</v>
      </c>
      <c r="E301" s="1">
        <v>45975</v>
      </c>
      <c r="F301" t="s">
        <v>270</v>
      </c>
      <c r="G301">
        <v>73.97</v>
      </c>
      <c r="H301">
        <v>2025</v>
      </c>
    </row>
    <row r="302" spans="1:8" x14ac:dyDescent="0.25">
      <c r="A302">
        <v>413</v>
      </c>
      <c r="B302" t="s">
        <v>318</v>
      </c>
      <c r="C302" t="s">
        <v>156</v>
      </c>
      <c r="D302" t="s">
        <v>157</v>
      </c>
      <c r="E302" s="1">
        <v>45855</v>
      </c>
      <c r="F302" t="s">
        <v>270</v>
      </c>
      <c r="G302">
        <v>95.32</v>
      </c>
      <c r="H302">
        <v>2025</v>
      </c>
    </row>
    <row r="303" spans="1:8" hidden="1" x14ac:dyDescent="0.25">
      <c r="A303">
        <v>417</v>
      </c>
      <c r="B303" t="s">
        <v>319</v>
      </c>
      <c r="C303" t="s">
        <v>85</v>
      </c>
      <c r="D303" t="s">
        <v>86</v>
      </c>
      <c r="E303" s="1">
        <v>45834</v>
      </c>
      <c r="F303" t="s">
        <v>270</v>
      </c>
      <c r="G303">
        <v>79.72</v>
      </c>
      <c r="H303">
        <v>2025</v>
      </c>
    </row>
    <row r="304" spans="1:8" x14ac:dyDescent="0.25">
      <c r="A304">
        <v>419</v>
      </c>
      <c r="B304" t="s">
        <v>320</v>
      </c>
      <c r="C304" t="s">
        <v>156</v>
      </c>
      <c r="D304" t="s">
        <v>157</v>
      </c>
      <c r="E304" s="1">
        <v>45687</v>
      </c>
      <c r="F304" t="s">
        <v>270</v>
      </c>
      <c r="G304">
        <v>83.16</v>
      </c>
      <c r="H304">
        <v>2025</v>
      </c>
    </row>
    <row r="305" spans="1:8" hidden="1" x14ac:dyDescent="0.25">
      <c r="A305">
        <v>420</v>
      </c>
      <c r="B305" t="s">
        <v>321</v>
      </c>
      <c r="C305" t="s">
        <v>153</v>
      </c>
      <c r="D305" t="s">
        <v>154</v>
      </c>
      <c r="E305" s="1">
        <v>45853</v>
      </c>
      <c r="F305" t="s">
        <v>270</v>
      </c>
      <c r="G305">
        <v>88.2</v>
      </c>
      <c r="H305">
        <v>2025</v>
      </c>
    </row>
    <row r="306" spans="1:8" x14ac:dyDescent="0.25">
      <c r="A306">
        <v>421</v>
      </c>
      <c r="B306" t="s">
        <v>322</v>
      </c>
      <c r="C306" t="s">
        <v>156</v>
      </c>
      <c r="D306" t="s">
        <v>157</v>
      </c>
      <c r="E306" s="1">
        <v>45718</v>
      </c>
      <c r="F306" t="s">
        <v>270</v>
      </c>
      <c r="G306">
        <v>78.95</v>
      </c>
      <c r="H306">
        <v>2025</v>
      </c>
    </row>
    <row r="307" spans="1:8" hidden="1" x14ac:dyDescent="0.25">
      <c r="A307">
        <v>425</v>
      </c>
      <c r="B307" t="s">
        <v>323</v>
      </c>
      <c r="C307" t="s">
        <v>85</v>
      </c>
      <c r="D307" t="s">
        <v>86</v>
      </c>
      <c r="E307" s="1">
        <v>45905</v>
      </c>
      <c r="F307" t="s">
        <v>270</v>
      </c>
      <c r="G307">
        <v>72.91</v>
      </c>
      <c r="H307">
        <v>2025</v>
      </c>
    </row>
    <row r="308" spans="1:8" hidden="1" x14ac:dyDescent="0.25">
      <c r="A308">
        <v>426</v>
      </c>
      <c r="B308" t="s">
        <v>324</v>
      </c>
      <c r="C308" t="s">
        <v>153</v>
      </c>
      <c r="D308" t="s">
        <v>154</v>
      </c>
      <c r="E308" s="1">
        <v>45978</v>
      </c>
      <c r="F308" t="s">
        <v>270</v>
      </c>
      <c r="G308">
        <v>73.430000000000007</v>
      </c>
      <c r="H308">
        <v>2025</v>
      </c>
    </row>
    <row r="309" spans="1:8" x14ac:dyDescent="0.25">
      <c r="A309">
        <v>427</v>
      </c>
      <c r="B309" t="s">
        <v>325</v>
      </c>
      <c r="C309" t="s">
        <v>156</v>
      </c>
      <c r="D309" t="s">
        <v>157</v>
      </c>
      <c r="E309" s="1">
        <v>45922</v>
      </c>
      <c r="F309" t="s">
        <v>270</v>
      </c>
      <c r="G309">
        <v>70.89</v>
      </c>
      <c r="H309">
        <v>2025</v>
      </c>
    </row>
    <row r="310" spans="1:8" hidden="1" x14ac:dyDescent="0.25">
      <c r="A310">
        <v>429</v>
      </c>
      <c r="B310" t="s">
        <v>326</v>
      </c>
      <c r="C310" t="s">
        <v>85</v>
      </c>
      <c r="D310" t="s">
        <v>86</v>
      </c>
      <c r="E310" s="1">
        <v>45936</v>
      </c>
      <c r="F310" t="s">
        <v>270</v>
      </c>
      <c r="G310">
        <v>80.680000000000007</v>
      </c>
      <c r="H310">
        <v>2025</v>
      </c>
    </row>
    <row r="311" spans="1:8" hidden="1" x14ac:dyDescent="0.25">
      <c r="A311">
        <v>446</v>
      </c>
      <c r="B311" t="s">
        <v>327</v>
      </c>
      <c r="C311" t="s">
        <v>153</v>
      </c>
      <c r="D311" t="s">
        <v>154</v>
      </c>
      <c r="E311" s="1">
        <v>45900</v>
      </c>
      <c r="F311" t="s">
        <v>270</v>
      </c>
      <c r="G311">
        <v>90.05</v>
      </c>
      <c r="H311">
        <v>2025</v>
      </c>
    </row>
    <row r="312" spans="1:8" hidden="1" x14ac:dyDescent="0.25">
      <c r="A312">
        <v>457</v>
      </c>
      <c r="B312" t="s">
        <v>328</v>
      </c>
      <c r="C312" t="s">
        <v>153</v>
      </c>
      <c r="D312" t="s">
        <v>154</v>
      </c>
      <c r="E312" s="1">
        <v>45785</v>
      </c>
      <c r="F312" t="s">
        <v>270</v>
      </c>
      <c r="G312">
        <v>83.53</v>
      </c>
      <c r="H312">
        <v>2025</v>
      </c>
    </row>
    <row r="313" spans="1:8" hidden="1" x14ac:dyDescent="0.25">
      <c r="A313">
        <v>459</v>
      </c>
      <c r="B313" t="s">
        <v>329</v>
      </c>
      <c r="C313" t="s">
        <v>153</v>
      </c>
      <c r="D313" t="s">
        <v>154</v>
      </c>
      <c r="E313" s="1">
        <v>45895</v>
      </c>
      <c r="F313" t="s">
        <v>270</v>
      </c>
      <c r="G313">
        <v>92.94</v>
      </c>
      <c r="H313">
        <v>2025</v>
      </c>
    </row>
    <row r="314" spans="1:8" hidden="1" x14ac:dyDescent="0.25">
      <c r="A314">
        <v>472</v>
      </c>
      <c r="B314" t="s">
        <v>330</v>
      </c>
      <c r="C314" t="s">
        <v>153</v>
      </c>
      <c r="D314" t="s">
        <v>154</v>
      </c>
      <c r="E314" s="1">
        <v>46021</v>
      </c>
      <c r="F314" t="s">
        <v>270</v>
      </c>
      <c r="G314">
        <v>91.16</v>
      </c>
      <c r="H314">
        <v>2025</v>
      </c>
    </row>
    <row r="315" spans="1:8" hidden="1" x14ac:dyDescent="0.25">
      <c r="A315">
        <v>480</v>
      </c>
      <c r="B315" t="s">
        <v>331</v>
      </c>
      <c r="C315" t="s">
        <v>85</v>
      </c>
      <c r="D315" t="s">
        <v>86</v>
      </c>
      <c r="E315" s="1">
        <v>45689</v>
      </c>
      <c r="F315" t="s">
        <v>270</v>
      </c>
      <c r="G315">
        <v>98.23</v>
      </c>
      <c r="H315">
        <v>2025</v>
      </c>
    </row>
    <row r="316" spans="1:8" hidden="1" x14ac:dyDescent="0.25">
      <c r="A316">
        <v>484</v>
      </c>
      <c r="B316" t="s">
        <v>332</v>
      </c>
      <c r="C316" t="s">
        <v>153</v>
      </c>
      <c r="D316" t="s">
        <v>154</v>
      </c>
      <c r="E316" s="1">
        <v>45967</v>
      </c>
      <c r="F316" t="s">
        <v>270</v>
      </c>
      <c r="G316">
        <v>85.75</v>
      </c>
      <c r="H316">
        <v>2025</v>
      </c>
    </row>
    <row r="317" spans="1:8" hidden="1" x14ac:dyDescent="0.25">
      <c r="A317">
        <v>486</v>
      </c>
      <c r="B317" t="s">
        <v>333</v>
      </c>
      <c r="C317" t="s">
        <v>85</v>
      </c>
      <c r="D317" t="s">
        <v>86</v>
      </c>
      <c r="E317" s="1">
        <v>45879</v>
      </c>
      <c r="F317" t="s">
        <v>270</v>
      </c>
      <c r="G317">
        <v>98.63</v>
      </c>
      <c r="H317">
        <v>2025</v>
      </c>
    </row>
    <row r="318" spans="1:8" x14ac:dyDescent="0.25">
      <c r="A318">
        <v>505</v>
      </c>
      <c r="B318" t="s">
        <v>334</v>
      </c>
      <c r="C318" t="s">
        <v>156</v>
      </c>
      <c r="D318" t="s">
        <v>157</v>
      </c>
      <c r="E318" s="1">
        <v>46007</v>
      </c>
      <c r="F318" t="s">
        <v>270</v>
      </c>
      <c r="G318">
        <v>96.72</v>
      </c>
      <c r="H318">
        <v>2025</v>
      </c>
    </row>
    <row r="319" spans="1:8" hidden="1" x14ac:dyDescent="0.25">
      <c r="A319">
        <v>506</v>
      </c>
      <c r="B319" t="s">
        <v>335</v>
      </c>
      <c r="C319" t="s">
        <v>153</v>
      </c>
      <c r="D319" t="s">
        <v>154</v>
      </c>
      <c r="E319" s="1">
        <v>45974</v>
      </c>
      <c r="F319" t="s">
        <v>270</v>
      </c>
      <c r="G319">
        <v>74.760000000000005</v>
      </c>
      <c r="H319">
        <v>2025</v>
      </c>
    </row>
    <row r="320" spans="1:8" x14ac:dyDescent="0.25">
      <c r="A320">
        <v>512</v>
      </c>
      <c r="B320" t="s">
        <v>336</v>
      </c>
      <c r="C320" t="s">
        <v>156</v>
      </c>
      <c r="D320" t="s">
        <v>157</v>
      </c>
      <c r="E320" s="1">
        <v>45832</v>
      </c>
      <c r="F320" t="s">
        <v>270</v>
      </c>
      <c r="G320">
        <v>98.28</v>
      </c>
      <c r="H320">
        <v>2025</v>
      </c>
    </row>
    <row r="321" spans="1:8" hidden="1" x14ac:dyDescent="0.25">
      <c r="A321">
        <v>513</v>
      </c>
      <c r="B321" t="s">
        <v>337</v>
      </c>
      <c r="C321" t="s">
        <v>85</v>
      </c>
      <c r="D321" t="s">
        <v>86</v>
      </c>
      <c r="E321" s="1">
        <v>45730</v>
      </c>
      <c r="F321" t="s">
        <v>270</v>
      </c>
      <c r="G321">
        <v>82</v>
      </c>
      <c r="H321">
        <v>2025</v>
      </c>
    </row>
    <row r="322" spans="1:8" hidden="1" x14ac:dyDescent="0.25">
      <c r="A322">
        <v>516</v>
      </c>
      <c r="B322" t="s">
        <v>338</v>
      </c>
      <c r="C322" t="s">
        <v>85</v>
      </c>
      <c r="D322" t="s">
        <v>86</v>
      </c>
      <c r="E322" s="1">
        <v>45858</v>
      </c>
      <c r="F322" t="s">
        <v>270</v>
      </c>
      <c r="G322">
        <v>98.38</v>
      </c>
      <c r="H322">
        <v>2025</v>
      </c>
    </row>
    <row r="323" spans="1:8" hidden="1" x14ac:dyDescent="0.25">
      <c r="A323">
        <v>518</v>
      </c>
      <c r="B323" t="s">
        <v>339</v>
      </c>
      <c r="C323" t="s">
        <v>85</v>
      </c>
      <c r="D323" t="s">
        <v>86</v>
      </c>
      <c r="E323" s="1">
        <v>45698</v>
      </c>
      <c r="F323" t="s">
        <v>270</v>
      </c>
      <c r="G323">
        <v>82.4</v>
      </c>
      <c r="H323">
        <v>2025</v>
      </c>
    </row>
    <row r="324" spans="1:8" hidden="1" x14ac:dyDescent="0.25">
      <c r="A324">
        <v>523</v>
      </c>
      <c r="B324" t="s">
        <v>340</v>
      </c>
      <c r="C324" t="s">
        <v>153</v>
      </c>
      <c r="D324" t="s">
        <v>154</v>
      </c>
      <c r="E324" s="1">
        <v>45682</v>
      </c>
      <c r="F324" t="s">
        <v>270</v>
      </c>
      <c r="G324">
        <v>83.4</v>
      </c>
      <c r="H324">
        <v>2025</v>
      </c>
    </row>
    <row r="325" spans="1:8" x14ac:dyDescent="0.25">
      <c r="A325">
        <v>524</v>
      </c>
      <c r="B325" t="s">
        <v>341</v>
      </c>
      <c r="C325" t="s">
        <v>156</v>
      </c>
      <c r="D325" t="s">
        <v>157</v>
      </c>
      <c r="E325" s="1">
        <v>45880</v>
      </c>
      <c r="F325" t="s">
        <v>270</v>
      </c>
      <c r="G325">
        <v>95.24</v>
      </c>
      <c r="H325">
        <v>2025</v>
      </c>
    </row>
    <row r="326" spans="1:8" x14ac:dyDescent="0.25">
      <c r="A326">
        <v>530</v>
      </c>
      <c r="B326" t="s">
        <v>342</v>
      </c>
      <c r="C326" t="s">
        <v>156</v>
      </c>
      <c r="D326" t="s">
        <v>157</v>
      </c>
      <c r="E326" s="1">
        <v>45788</v>
      </c>
      <c r="F326" t="s">
        <v>270</v>
      </c>
      <c r="G326">
        <v>97.06</v>
      </c>
      <c r="H326">
        <v>2025</v>
      </c>
    </row>
    <row r="327" spans="1:8" hidden="1" x14ac:dyDescent="0.25">
      <c r="A327">
        <v>536</v>
      </c>
      <c r="B327" t="s">
        <v>343</v>
      </c>
      <c r="C327" t="s">
        <v>153</v>
      </c>
      <c r="D327" t="s">
        <v>154</v>
      </c>
      <c r="E327" s="1">
        <v>45805</v>
      </c>
      <c r="F327" t="s">
        <v>270</v>
      </c>
      <c r="G327">
        <v>91.39</v>
      </c>
      <c r="H327">
        <v>2025</v>
      </c>
    </row>
    <row r="328" spans="1:8" hidden="1" x14ac:dyDescent="0.25">
      <c r="A328">
        <v>548</v>
      </c>
      <c r="B328" t="s">
        <v>344</v>
      </c>
      <c r="C328" t="s">
        <v>153</v>
      </c>
      <c r="D328" t="s">
        <v>154</v>
      </c>
      <c r="E328" s="1">
        <v>45725</v>
      </c>
      <c r="F328" t="s">
        <v>270</v>
      </c>
      <c r="G328">
        <v>82.09</v>
      </c>
      <c r="H328">
        <v>2025</v>
      </c>
    </row>
    <row r="329" spans="1:8" x14ac:dyDescent="0.25">
      <c r="A329">
        <v>561</v>
      </c>
      <c r="B329" t="s">
        <v>345</v>
      </c>
      <c r="C329" t="s">
        <v>156</v>
      </c>
      <c r="D329" t="s">
        <v>157</v>
      </c>
      <c r="E329" s="1">
        <v>45832</v>
      </c>
      <c r="F329" t="s">
        <v>270</v>
      </c>
      <c r="G329">
        <v>87.81</v>
      </c>
      <c r="H329">
        <v>2025</v>
      </c>
    </row>
    <row r="330" spans="1:8" hidden="1" x14ac:dyDescent="0.25">
      <c r="A330">
        <v>564</v>
      </c>
      <c r="B330" t="s">
        <v>346</v>
      </c>
      <c r="C330" t="s">
        <v>85</v>
      </c>
      <c r="D330" t="s">
        <v>86</v>
      </c>
      <c r="E330" s="1">
        <v>45953</v>
      </c>
      <c r="F330" t="s">
        <v>270</v>
      </c>
      <c r="G330">
        <v>84.32</v>
      </c>
      <c r="H330">
        <v>2025</v>
      </c>
    </row>
    <row r="331" spans="1:8" x14ac:dyDescent="0.25">
      <c r="A331">
        <v>565</v>
      </c>
      <c r="B331" t="s">
        <v>347</v>
      </c>
      <c r="C331" t="s">
        <v>156</v>
      </c>
      <c r="D331" t="s">
        <v>157</v>
      </c>
      <c r="E331" s="1">
        <v>45661</v>
      </c>
      <c r="F331" t="s">
        <v>270</v>
      </c>
      <c r="G331">
        <v>87.71</v>
      </c>
      <c r="H331">
        <v>2025</v>
      </c>
    </row>
    <row r="332" spans="1:8" hidden="1" x14ac:dyDescent="0.25">
      <c r="A332">
        <v>567</v>
      </c>
      <c r="B332" t="s">
        <v>348</v>
      </c>
      <c r="C332" t="s">
        <v>153</v>
      </c>
      <c r="D332" t="s">
        <v>154</v>
      </c>
      <c r="E332" s="1">
        <v>45976</v>
      </c>
      <c r="F332" t="s">
        <v>270</v>
      </c>
      <c r="G332">
        <v>73.3</v>
      </c>
      <c r="H332">
        <v>2025</v>
      </c>
    </row>
    <row r="333" spans="1:8" hidden="1" x14ac:dyDescent="0.25">
      <c r="A333">
        <v>570</v>
      </c>
      <c r="B333" t="s">
        <v>349</v>
      </c>
      <c r="C333" t="s">
        <v>153</v>
      </c>
      <c r="D333" t="s">
        <v>154</v>
      </c>
      <c r="E333" s="1">
        <v>45975</v>
      </c>
      <c r="F333" t="s">
        <v>270</v>
      </c>
      <c r="G333">
        <v>88.53</v>
      </c>
      <c r="H333">
        <v>2025</v>
      </c>
    </row>
    <row r="334" spans="1:8" hidden="1" x14ac:dyDescent="0.25">
      <c r="A334">
        <v>596</v>
      </c>
      <c r="B334" t="s">
        <v>350</v>
      </c>
      <c r="C334" t="s">
        <v>153</v>
      </c>
      <c r="D334" t="s">
        <v>154</v>
      </c>
      <c r="E334" s="1">
        <v>46019</v>
      </c>
      <c r="F334" t="s">
        <v>270</v>
      </c>
      <c r="G334">
        <v>98.16</v>
      </c>
      <c r="H334">
        <v>2025</v>
      </c>
    </row>
    <row r="335" spans="1:8" hidden="1" x14ac:dyDescent="0.25">
      <c r="A335">
        <v>608</v>
      </c>
      <c r="B335" t="s">
        <v>351</v>
      </c>
      <c r="C335" t="s">
        <v>153</v>
      </c>
      <c r="D335" t="s">
        <v>154</v>
      </c>
      <c r="E335" s="1">
        <v>45691</v>
      </c>
      <c r="F335" t="s">
        <v>270</v>
      </c>
      <c r="G335">
        <v>92.36</v>
      </c>
      <c r="H335">
        <v>2025</v>
      </c>
    </row>
    <row r="336" spans="1:8" x14ac:dyDescent="0.25">
      <c r="A336">
        <v>616</v>
      </c>
      <c r="B336" t="s">
        <v>352</v>
      </c>
      <c r="C336" t="s">
        <v>156</v>
      </c>
      <c r="D336" t="s">
        <v>157</v>
      </c>
      <c r="E336" s="1">
        <v>45765</v>
      </c>
      <c r="F336" t="s">
        <v>270</v>
      </c>
      <c r="G336">
        <v>86.65</v>
      </c>
      <c r="H336">
        <v>2025</v>
      </c>
    </row>
    <row r="337" spans="1:8" hidden="1" x14ac:dyDescent="0.25">
      <c r="A337">
        <v>618</v>
      </c>
      <c r="B337" t="s">
        <v>353</v>
      </c>
      <c r="C337" t="s">
        <v>153</v>
      </c>
      <c r="D337" t="s">
        <v>154</v>
      </c>
      <c r="E337" s="1">
        <v>45917</v>
      </c>
      <c r="F337" t="s">
        <v>270</v>
      </c>
      <c r="G337">
        <v>84.36</v>
      </c>
      <c r="H337">
        <v>2025</v>
      </c>
    </row>
    <row r="338" spans="1:8" hidden="1" x14ac:dyDescent="0.25">
      <c r="A338">
        <v>622</v>
      </c>
      <c r="B338" t="s">
        <v>354</v>
      </c>
      <c r="C338" t="s">
        <v>85</v>
      </c>
      <c r="D338" t="s">
        <v>86</v>
      </c>
      <c r="E338" s="1">
        <v>45854</v>
      </c>
      <c r="F338" t="s">
        <v>270</v>
      </c>
      <c r="G338">
        <v>82.4</v>
      </c>
      <c r="H338">
        <v>2025</v>
      </c>
    </row>
    <row r="339" spans="1:8" x14ac:dyDescent="0.25">
      <c r="A339">
        <v>628</v>
      </c>
      <c r="B339" t="s">
        <v>355</v>
      </c>
      <c r="C339" t="s">
        <v>156</v>
      </c>
      <c r="D339" t="s">
        <v>157</v>
      </c>
      <c r="E339" s="1">
        <v>45970</v>
      </c>
      <c r="F339" t="s">
        <v>270</v>
      </c>
      <c r="G339">
        <v>83.75</v>
      </c>
      <c r="H339">
        <v>2025</v>
      </c>
    </row>
    <row r="340" spans="1:8" hidden="1" x14ac:dyDescent="0.25">
      <c r="A340">
        <v>635</v>
      </c>
      <c r="B340" t="s">
        <v>356</v>
      </c>
      <c r="C340" t="s">
        <v>85</v>
      </c>
      <c r="D340" t="s">
        <v>86</v>
      </c>
      <c r="E340" s="1">
        <v>45739</v>
      </c>
      <c r="F340" t="s">
        <v>270</v>
      </c>
      <c r="G340">
        <v>88.6</v>
      </c>
      <c r="H340">
        <v>2025</v>
      </c>
    </row>
    <row r="341" spans="1:8" x14ac:dyDescent="0.25">
      <c r="A341">
        <v>650</v>
      </c>
      <c r="B341" t="s">
        <v>357</v>
      </c>
      <c r="C341" t="s">
        <v>156</v>
      </c>
      <c r="D341" t="s">
        <v>157</v>
      </c>
      <c r="E341" s="1">
        <v>45963</v>
      </c>
      <c r="F341" t="s">
        <v>270</v>
      </c>
      <c r="G341">
        <v>99.17</v>
      </c>
      <c r="H341">
        <v>2025</v>
      </c>
    </row>
    <row r="342" spans="1:8" hidden="1" x14ac:dyDescent="0.25">
      <c r="A342">
        <v>663</v>
      </c>
      <c r="B342" t="s">
        <v>358</v>
      </c>
      <c r="C342" t="s">
        <v>85</v>
      </c>
      <c r="D342" t="s">
        <v>86</v>
      </c>
      <c r="E342" s="1">
        <v>46015</v>
      </c>
      <c r="F342" t="s">
        <v>270</v>
      </c>
      <c r="G342">
        <v>84.71</v>
      </c>
      <c r="H342">
        <v>2025</v>
      </c>
    </row>
    <row r="343" spans="1:8" hidden="1" x14ac:dyDescent="0.25">
      <c r="A343">
        <v>664</v>
      </c>
      <c r="B343" t="s">
        <v>359</v>
      </c>
      <c r="C343" t="s">
        <v>153</v>
      </c>
      <c r="D343" t="s">
        <v>154</v>
      </c>
      <c r="E343" s="1">
        <v>45700</v>
      </c>
      <c r="F343" t="s">
        <v>270</v>
      </c>
      <c r="G343">
        <v>91.72</v>
      </c>
      <c r="H343">
        <v>2025</v>
      </c>
    </row>
    <row r="344" spans="1:8" hidden="1" x14ac:dyDescent="0.25">
      <c r="A344">
        <v>671</v>
      </c>
      <c r="B344" t="s">
        <v>360</v>
      </c>
      <c r="C344" t="s">
        <v>85</v>
      </c>
      <c r="D344" t="s">
        <v>86</v>
      </c>
      <c r="E344" s="1">
        <v>45830</v>
      </c>
      <c r="F344" t="s">
        <v>270</v>
      </c>
      <c r="G344">
        <v>72.45</v>
      </c>
      <c r="H344">
        <v>2025</v>
      </c>
    </row>
    <row r="345" spans="1:8" x14ac:dyDescent="0.25">
      <c r="A345">
        <v>674</v>
      </c>
      <c r="B345" t="s">
        <v>361</v>
      </c>
      <c r="C345" t="s">
        <v>156</v>
      </c>
      <c r="D345" t="s">
        <v>157</v>
      </c>
      <c r="E345" s="1">
        <v>45901</v>
      </c>
      <c r="F345" t="s">
        <v>270</v>
      </c>
      <c r="G345">
        <v>99.57</v>
      </c>
      <c r="H345">
        <v>2025</v>
      </c>
    </row>
    <row r="346" spans="1:8" x14ac:dyDescent="0.25">
      <c r="A346">
        <v>691</v>
      </c>
      <c r="B346" t="s">
        <v>362</v>
      </c>
      <c r="C346" t="s">
        <v>156</v>
      </c>
      <c r="D346" t="s">
        <v>157</v>
      </c>
      <c r="E346" s="1">
        <v>45971</v>
      </c>
      <c r="F346" t="s">
        <v>270</v>
      </c>
      <c r="G346">
        <v>92.68</v>
      </c>
      <c r="H346">
        <v>2025</v>
      </c>
    </row>
    <row r="347" spans="1:8" hidden="1" x14ac:dyDescent="0.25">
      <c r="A347">
        <v>715</v>
      </c>
      <c r="B347" t="s">
        <v>363</v>
      </c>
      <c r="C347" t="s">
        <v>153</v>
      </c>
      <c r="D347" t="s">
        <v>154</v>
      </c>
      <c r="E347" s="1">
        <v>45762</v>
      </c>
      <c r="F347" t="s">
        <v>270</v>
      </c>
      <c r="G347">
        <v>71.209999999999994</v>
      </c>
      <c r="H347">
        <v>2025</v>
      </c>
    </row>
    <row r="348" spans="1:8" x14ac:dyDescent="0.25">
      <c r="A348">
        <v>724</v>
      </c>
      <c r="B348" t="s">
        <v>364</v>
      </c>
      <c r="C348" t="s">
        <v>156</v>
      </c>
      <c r="D348" t="s">
        <v>157</v>
      </c>
      <c r="E348" s="1">
        <v>45734</v>
      </c>
      <c r="F348" t="s">
        <v>270</v>
      </c>
      <c r="G348">
        <v>77.540000000000006</v>
      </c>
      <c r="H348">
        <v>2025</v>
      </c>
    </row>
    <row r="349" spans="1:8" hidden="1" x14ac:dyDescent="0.25">
      <c r="A349">
        <v>730</v>
      </c>
      <c r="B349" t="s">
        <v>365</v>
      </c>
      <c r="C349" t="s">
        <v>85</v>
      </c>
      <c r="D349" t="s">
        <v>86</v>
      </c>
      <c r="E349" s="1">
        <v>45982</v>
      </c>
      <c r="F349" t="s">
        <v>270</v>
      </c>
      <c r="G349">
        <v>72.680000000000007</v>
      </c>
      <c r="H349">
        <v>2025</v>
      </c>
    </row>
    <row r="350" spans="1:8" hidden="1" x14ac:dyDescent="0.25">
      <c r="A350">
        <v>737</v>
      </c>
      <c r="B350" t="s">
        <v>366</v>
      </c>
      <c r="C350" t="s">
        <v>153</v>
      </c>
      <c r="D350" t="s">
        <v>154</v>
      </c>
      <c r="E350" s="1">
        <v>45925</v>
      </c>
      <c r="F350" t="s">
        <v>270</v>
      </c>
      <c r="G350">
        <v>79.099999999999994</v>
      </c>
      <c r="H350">
        <v>2025</v>
      </c>
    </row>
    <row r="351" spans="1:8" hidden="1" x14ac:dyDescent="0.25">
      <c r="A351">
        <v>739</v>
      </c>
      <c r="B351" t="s">
        <v>367</v>
      </c>
      <c r="C351" t="s">
        <v>85</v>
      </c>
      <c r="D351" t="s">
        <v>86</v>
      </c>
      <c r="E351" s="1">
        <v>45838</v>
      </c>
      <c r="F351" t="s">
        <v>270</v>
      </c>
      <c r="G351">
        <v>73.14</v>
      </c>
      <c r="H351">
        <v>2025</v>
      </c>
    </row>
    <row r="352" spans="1:8" hidden="1" x14ac:dyDescent="0.25">
      <c r="A352">
        <v>741</v>
      </c>
      <c r="B352" t="s">
        <v>368</v>
      </c>
      <c r="C352" t="s">
        <v>85</v>
      </c>
      <c r="D352" t="s">
        <v>86</v>
      </c>
      <c r="E352" s="1">
        <v>45837</v>
      </c>
      <c r="F352" t="s">
        <v>270</v>
      </c>
      <c r="G352">
        <v>73.180000000000007</v>
      </c>
      <c r="H352">
        <v>2025</v>
      </c>
    </row>
    <row r="353" spans="1:8" hidden="1" x14ac:dyDescent="0.25">
      <c r="A353">
        <v>759</v>
      </c>
      <c r="B353" t="s">
        <v>369</v>
      </c>
      <c r="C353" t="s">
        <v>153</v>
      </c>
      <c r="D353" t="s">
        <v>154</v>
      </c>
      <c r="E353" s="1">
        <v>45751</v>
      </c>
      <c r="F353" t="s">
        <v>270</v>
      </c>
      <c r="G353">
        <v>91.35</v>
      </c>
      <c r="H353">
        <v>2025</v>
      </c>
    </row>
    <row r="354" spans="1:8" hidden="1" x14ac:dyDescent="0.25">
      <c r="A354">
        <v>761</v>
      </c>
      <c r="B354" t="s">
        <v>370</v>
      </c>
      <c r="C354" t="s">
        <v>153</v>
      </c>
      <c r="D354" t="s">
        <v>154</v>
      </c>
      <c r="E354" s="1">
        <v>45709</v>
      </c>
      <c r="F354" t="s">
        <v>270</v>
      </c>
      <c r="G354">
        <v>79.28</v>
      </c>
      <c r="H354">
        <v>2025</v>
      </c>
    </row>
    <row r="355" spans="1:8" hidden="1" x14ac:dyDescent="0.25">
      <c r="A355">
        <v>766</v>
      </c>
      <c r="B355" t="s">
        <v>371</v>
      </c>
      <c r="C355" t="s">
        <v>153</v>
      </c>
      <c r="D355" t="s">
        <v>154</v>
      </c>
      <c r="E355" s="1">
        <v>45805</v>
      </c>
      <c r="F355" t="s">
        <v>270</v>
      </c>
      <c r="G355">
        <v>95.42</v>
      </c>
      <c r="H355">
        <v>2025</v>
      </c>
    </row>
    <row r="356" spans="1:8" hidden="1" x14ac:dyDescent="0.25">
      <c r="A356">
        <v>768</v>
      </c>
      <c r="B356" t="s">
        <v>372</v>
      </c>
      <c r="C356" t="s">
        <v>153</v>
      </c>
      <c r="D356" t="s">
        <v>154</v>
      </c>
      <c r="E356" s="1">
        <v>45674</v>
      </c>
      <c r="F356" t="s">
        <v>270</v>
      </c>
      <c r="G356">
        <v>93.92</v>
      </c>
      <c r="H356">
        <v>2025</v>
      </c>
    </row>
    <row r="357" spans="1:8" hidden="1" x14ac:dyDescent="0.25">
      <c r="A357">
        <v>777</v>
      </c>
      <c r="B357" t="s">
        <v>373</v>
      </c>
      <c r="C357" t="s">
        <v>85</v>
      </c>
      <c r="D357" t="s">
        <v>86</v>
      </c>
      <c r="E357" s="1">
        <v>45784</v>
      </c>
      <c r="F357" t="s">
        <v>270</v>
      </c>
      <c r="G357">
        <v>89.6</v>
      </c>
      <c r="H357">
        <v>2025</v>
      </c>
    </row>
    <row r="358" spans="1:8" hidden="1" x14ac:dyDescent="0.25">
      <c r="A358">
        <v>789</v>
      </c>
      <c r="B358" t="s">
        <v>374</v>
      </c>
      <c r="C358" t="s">
        <v>85</v>
      </c>
      <c r="D358" t="s">
        <v>86</v>
      </c>
      <c r="E358" s="1">
        <v>45723</v>
      </c>
      <c r="F358" t="s">
        <v>270</v>
      </c>
      <c r="G358">
        <v>74.62</v>
      </c>
      <c r="H358">
        <v>2025</v>
      </c>
    </row>
    <row r="359" spans="1:8" hidden="1" x14ac:dyDescent="0.25">
      <c r="A359">
        <v>792</v>
      </c>
      <c r="B359" t="s">
        <v>375</v>
      </c>
      <c r="C359" t="s">
        <v>85</v>
      </c>
      <c r="D359" t="s">
        <v>86</v>
      </c>
      <c r="E359" s="1">
        <v>45687</v>
      </c>
      <c r="F359" t="s">
        <v>270</v>
      </c>
      <c r="G359">
        <v>90.49</v>
      </c>
      <c r="H359">
        <v>2025</v>
      </c>
    </row>
    <row r="360" spans="1:8" x14ac:dyDescent="0.25">
      <c r="A360">
        <v>808</v>
      </c>
      <c r="B360" t="s">
        <v>376</v>
      </c>
      <c r="C360" t="s">
        <v>156</v>
      </c>
      <c r="D360" t="s">
        <v>157</v>
      </c>
      <c r="E360" s="1">
        <v>45685</v>
      </c>
      <c r="F360" t="s">
        <v>270</v>
      </c>
      <c r="G360">
        <v>89.95</v>
      </c>
      <c r="H360">
        <v>2025</v>
      </c>
    </row>
    <row r="361" spans="1:8" hidden="1" x14ac:dyDescent="0.25">
      <c r="A361">
        <v>812</v>
      </c>
      <c r="B361" t="s">
        <v>377</v>
      </c>
      <c r="C361" t="s">
        <v>153</v>
      </c>
      <c r="D361" t="s">
        <v>154</v>
      </c>
      <c r="E361" s="1">
        <v>45820</v>
      </c>
      <c r="F361" t="s">
        <v>270</v>
      </c>
      <c r="G361">
        <v>84.49</v>
      </c>
      <c r="H361">
        <v>2025</v>
      </c>
    </row>
    <row r="362" spans="1:8" hidden="1" x14ac:dyDescent="0.25">
      <c r="A362">
        <v>814</v>
      </c>
      <c r="B362" t="s">
        <v>378</v>
      </c>
      <c r="C362" t="s">
        <v>153</v>
      </c>
      <c r="D362" t="s">
        <v>154</v>
      </c>
      <c r="E362" s="1">
        <v>45785</v>
      </c>
      <c r="F362" t="s">
        <v>270</v>
      </c>
      <c r="G362">
        <v>77.209999999999994</v>
      </c>
      <c r="H362">
        <v>2025</v>
      </c>
    </row>
    <row r="363" spans="1:8" hidden="1" x14ac:dyDescent="0.25">
      <c r="A363">
        <v>816</v>
      </c>
      <c r="B363" t="s">
        <v>379</v>
      </c>
      <c r="C363" t="s">
        <v>85</v>
      </c>
      <c r="D363" t="s">
        <v>86</v>
      </c>
      <c r="E363" s="1">
        <v>45954</v>
      </c>
      <c r="F363" t="s">
        <v>270</v>
      </c>
      <c r="G363">
        <v>70.05</v>
      </c>
      <c r="H363">
        <v>2025</v>
      </c>
    </row>
    <row r="364" spans="1:8" x14ac:dyDescent="0.25">
      <c r="A364">
        <v>823</v>
      </c>
      <c r="B364" t="s">
        <v>380</v>
      </c>
      <c r="C364" t="s">
        <v>156</v>
      </c>
      <c r="D364" t="s">
        <v>157</v>
      </c>
      <c r="E364" s="1">
        <v>45801</v>
      </c>
      <c r="F364" t="s">
        <v>270</v>
      </c>
      <c r="G364">
        <v>91.53</v>
      </c>
      <c r="H364">
        <v>2025</v>
      </c>
    </row>
    <row r="365" spans="1:8" hidden="1" x14ac:dyDescent="0.25">
      <c r="A365">
        <v>831</v>
      </c>
      <c r="B365" t="s">
        <v>381</v>
      </c>
      <c r="C365" t="s">
        <v>153</v>
      </c>
      <c r="D365" t="s">
        <v>154</v>
      </c>
      <c r="E365" s="1">
        <v>45836</v>
      </c>
      <c r="F365" t="s">
        <v>270</v>
      </c>
      <c r="G365">
        <v>82.16</v>
      </c>
      <c r="H365">
        <v>2025</v>
      </c>
    </row>
    <row r="366" spans="1:8" x14ac:dyDescent="0.25">
      <c r="A366">
        <v>845</v>
      </c>
      <c r="B366" t="s">
        <v>382</v>
      </c>
      <c r="C366" t="s">
        <v>156</v>
      </c>
      <c r="D366" t="s">
        <v>157</v>
      </c>
      <c r="E366" s="1">
        <v>45749</v>
      </c>
      <c r="F366" t="s">
        <v>270</v>
      </c>
      <c r="G366">
        <v>86.35</v>
      </c>
      <c r="H366">
        <v>2025</v>
      </c>
    </row>
    <row r="367" spans="1:8" x14ac:dyDescent="0.25">
      <c r="A367">
        <v>855</v>
      </c>
      <c r="B367" t="s">
        <v>383</v>
      </c>
      <c r="C367" t="s">
        <v>156</v>
      </c>
      <c r="D367" t="s">
        <v>157</v>
      </c>
      <c r="E367" s="1">
        <v>45761</v>
      </c>
      <c r="F367" t="s">
        <v>270</v>
      </c>
      <c r="G367">
        <v>92.83</v>
      </c>
      <c r="H367">
        <v>2025</v>
      </c>
    </row>
    <row r="368" spans="1:8" x14ac:dyDescent="0.25">
      <c r="A368">
        <v>890</v>
      </c>
      <c r="B368" t="s">
        <v>384</v>
      </c>
      <c r="C368" t="s">
        <v>156</v>
      </c>
      <c r="D368" t="s">
        <v>157</v>
      </c>
      <c r="E368" s="1">
        <v>45810</v>
      </c>
      <c r="F368" t="s">
        <v>270</v>
      </c>
      <c r="G368">
        <v>73.88</v>
      </c>
      <c r="H368">
        <v>2025</v>
      </c>
    </row>
    <row r="369" spans="1:8" x14ac:dyDescent="0.25">
      <c r="A369">
        <v>895</v>
      </c>
      <c r="B369" t="s">
        <v>385</v>
      </c>
      <c r="C369" t="s">
        <v>156</v>
      </c>
      <c r="D369" t="s">
        <v>157</v>
      </c>
      <c r="E369" s="1">
        <v>45703</v>
      </c>
      <c r="F369" t="s">
        <v>270</v>
      </c>
      <c r="G369">
        <v>73.08</v>
      </c>
      <c r="H369">
        <v>2025</v>
      </c>
    </row>
    <row r="370" spans="1:8" hidden="1" x14ac:dyDescent="0.25">
      <c r="A370">
        <v>910</v>
      </c>
      <c r="B370" t="s">
        <v>386</v>
      </c>
      <c r="C370" t="s">
        <v>85</v>
      </c>
      <c r="D370" t="s">
        <v>86</v>
      </c>
      <c r="E370" s="1">
        <v>45974</v>
      </c>
      <c r="F370" t="s">
        <v>270</v>
      </c>
      <c r="G370">
        <v>92.73</v>
      </c>
      <c r="H370">
        <v>2025</v>
      </c>
    </row>
    <row r="371" spans="1:8" x14ac:dyDescent="0.25">
      <c r="A371">
        <v>911</v>
      </c>
      <c r="B371" t="s">
        <v>387</v>
      </c>
      <c r="C371" t="s">
        <v>156</v>
      </c>
      <c r="D371" t="s">
        <v>157</v>
      </c>
      <c r="E371" s="1">
        <v>46016</v>
      </c>
      <c r="F371" t="s">
        <v>270</v>
      </c>
      <c r="G371">
        <v>93.12</v>
      </c>
      <c r="H371">
        <v>2025</v>
      </c>
    </row>
    <row r="372" spans="1:8" hidden="1" x14ac:dyDescent="0.25">
      <c r="A372">
        <v>921</v>
      </c>
      <c r="B372" t="s">
        <v>388</v>
      </c>
      <c r="C372" t="s">
        <v>85</v>
      </c>
      <c r="D372" t="s">
        <v>86</v>
      </c>
      <c r="E372" s="1">
        <v>45961</v>
      </c>
      <c r="F372" t="s">
        <v>270</v>
      </c>
      <c r="G372">
        <v>72.92</v>
      </c>
      <c r="H372">
        <v>2025</v>
      </c>
    </row>
    <row r="373" spans="1:8" hidden="1" x14ac:dyDescent="0.25">
      <c r="A373">
        <v>925</v>
      </c>
      <c r="B373" t="s">
        <v>389</v>
      </c>
      <c r="C373" t="s">
        <v>85</v>
      </c>
      <c r="D373" t="s">
        <v>86</v>
      </c>
      <c r="E373" s="1">
        <v>45807</v>
      </c>
      <c r="F373" t="s">
        <v>270</v>
      </c>
      <c r="G373">
        <v>81.150000000000006</v>
      </c>
      <c r="H373">
        <v>2025</v>
      </c>
    </row>
    <row r="374" spans="1:8" hidden="1" x14ac:dyDescent="0.25">
      <c r="A374">
        <v>928</v>
      </c>
      <c r="B374" t="s">
        <v>390</v>
      </c>
      <c r="C374" t="s">
        <v>85</v>
      </c>
      <c r="D374" t="s">
        <v>86</v>
      </c>
      <c r="E374" s="1">
        <v>45888</v>
      </c>
      <c r="F374" t="s">
        <v>270</v>
      </c>
      <c r="G374">
        <v>77.73</v>
      </c>
      <c r="H374">
        <v>2025</v>
      </c>
    </row>
    <row r="375" spans="1:8" hidden="1" x14ac:dyDescent="0.25">
      <c r="A375">
        <v>929</v>
      </c>
      <c r="B375" t="s">
        <v>391</v>
      </c>
      <c r="C375" t="s">
        <v>85</v>
      </c>
      <c r="D375" t="s">
        <v>86</v>
      </c>
      <c r="E375" s="1">
        <v>45965</v>
      </c>
      <c r="F375" t="s">
        <v>270</v>
      </c>
      <c r="G375">
        <v>88.8</v>
      </c>
      <c r="H375">
        <v>2025</v>
      </c>
    </row>
    <row r="376" spans="1:8" hidden="1" x14ac:dyDescent="0.25">
      <c r="A376">
        <v>931</v>
      </c>
      <c r="B376" t="s">
        <v>392</v>
      </c>
      <c r="C376" t="s">
        <v>85</v>
      </c>
      <c r="D376" t="s">
        <v>86</v>
      </c>
      <c r="E376" s="1">
        <v>45918</v>
      </c>
      <c r="F376" t="s">
        <v>270</v>
      </c>
      <c r="G376">
        <v>74.069999999999993</v>
      </c>
      <c r="H376">
        <v>2025</v>
      </c>
    </row>
    <row r="377" spans="1:8" x14ac:dyDescent="0.25">
      <c r="A377">
        <v>937</v>
      </c>
      <c r="B377" t="s">
        <v>393</v>
      </c>
      <c r="C377" t="s">
        <v>156</v>
      </c>
      <c r="D377" t="s">
        <v>157</v>
      </c>
      <c r="E377" s="1">
        <v>45751</v>
      </c>
      <c r="F377" t="s">
        <v>270</v>
      </c>
      <c r="G377">
        <v>73.17</v>
      </c>
      <c r="H377">
        <v>2025</v>
      </c>
    </row>
    <row r="378" spans="1:8" hidden="1" x14ac:dyDescent="0.25">
      <c r="A378">
        <v>939</v>
      </c>
      <c r="B378" t="s">
        <v>394</v>
      </c>
      <c r="C378" t="s">
        <v>153</v>
      </c>
      <c r="D378" t="s">
        <v>154</v>
      </c>
      <c r="E378" s="1">
        <v>45998</v>
      </c>
      <c r="F378" t="s">
        <v>270</v>
      </c>
      <c r="G378">
        <v>81.25</v>
      </c>
      <c r="H378">
        <v>2025</v>
      </c>
    </row>
    <row r="379" spans="1:8" hidden="1" x14ac:dyDescent="0.25">
      <c r="A379">
        <v>940</v>
      </c>
      <c r="B379" t="s">
        <v>395</v>
      </c>
      <c r="C379" t="s">
        <v>85</v>
      </c>
      <c r="D379" t="s">
        <v>86</v>
      </c>
      <c r="E379" s="1">
        <v>45941</v>
      </c>
      <c r="F379" t="s">
        <v>270</v>
      </c>
      <c r="G379">
        <v>97.73</v>
      </c>
      <c r="H379">
        <v>2025</v>
      </c>
    </row>
    <row r="380" spans="1:8" hidden="1" x14ac:dyDescent="0.25">
      <c r="A380">
        <v>941</v>
      </c>
      <c r="B380" t="s">
        <v>396</v>
      </c>
      <c r="C380" t="s">
        <v>153</v>
      </c>
      <c r="D380" t="s">
        <v>154</v>
      </c>
      <c r="E380" s="1">
        <v>45717</v>
      </c>
      <c r="F380" t="s">
        <v>270</v>
      </c>
      <c r="G380">
        <v>91.09</v>
      </c>
      <c r="H380">
        <v>2025</v>
      </c>
    </row>
    <row r="381" spans="1:8" hidden="1" x14ac:dyDescent="0.25">
      <c r="A381">
        <v>952</v>
      </c>
      <c r="B381" t="s">
        <v>397</v>
      </c>
      <c r="C381" t="s">
        <v>85</v>
      </c>
      <c r="D381" t="s">
        <v>86</v>
      </c>
      <c r="E381" s="1">
        <v>45956</v>
      </c>
      <c r="F381" t="s">
        <v>270</v>
      </c>
      <c r="G381">
        <v>94.81</v>
      </c>
      <c r="H381">
        <v>2025</v>
      </c>
    </row>
    <row r="382" spans="1:8" hidden="1" x14ac:dyDescent="0.25">
      <c r="A382">
        <v>957</v>
      </c>
      <c r="B382" t="s">
        <v>398</v>
      </c>
      <c r="C382" t="s">
        <v>85</v>
      </c>
      <c r="D382" t="s">
        <v>86</v>
      </c>
      <c r="E382" s="1">
        <v>45748</v>
      </c>
      <c r="F382" t="s">
        <v>270</v>
      </c>
      <c r="G382">
        <v>98.03</v>
      </c>
      <c r="H382">
        <v>2025</v>
      </c>
    </row>
    <row r="383" spans="1:8" hidden="1" x14ac:dyDescent="0.25">
      <c r="A383">
        <v>962</v>
      </c>
      <c r="B383" t="s">
        <v>399</v>
      </c>
      <c r="C383" t="s">
        <v>85</v>
      </c>
      <c r="D383" t="s">
        <v>86</v>
      </c>
      <c r="E383" s="1">
        <v>45831</v>
      </c>
      <c r="F383" t="s">
        <v>270</v>
      </c>
      <c r="G383">
        <v>78.47</v>
      </c>
      <c r="H383">
        <v>2025</v>
      </c>
    </row>
    <row r="384" spans="1:8" hidden="1" x14ac:dyDescent="0.25">
      <c r="A384">
        <v>965</v>
      </c>
      <c r="B384" t="s">
        <v>400</v>
      </c>
      <c r="C384" t="s">
        <v>85</v>
      </c>
      <c r="D384" t="s">
        <v>86</v>
      </c>
      <c r="E384" s="1">
        <v>45752</v>
      </c>
      <c r="F384" t="s">
        <v>270</v>
      </c>
      <c r="G384">
        <v>78.34</v>
      </c>
      <c r="H384">
        <v>2025</v>
      </c>
    </row>
    <row r="385" spans="1:8" x14ac:dyDescent="0.25">
      <c r="A385">
        <v>967</v>
      </c>
      <c r="B385" t="s">
        <v>401</v>
      </c>
      <c r="C385" t="s">
        <v>156</v>
      </c>
      <c r="D385" t="s">
        <v>157</v>
      </c>
      <c r="E385" s="1">
        <v>45927</v>
      </c>
      <c r="F385" t="s">
        <v>270</v>
      </c>
      <c r="G385">
        <v>96.46</v>
      </c>
      <c r="H385">
        <v>2025</v>
      </c>
    </row>
    <row r="386" spans="1:8" x14ac:dyDescent="0.25">
      <c r="A386">
        <v>981</v>
      </c>
      <c r="B386" t="s">
        <v>402</v>
      </c>
      <c r="C386" t="s">
        <v>156</v>
      </c>
      <c r="D386" t="s">
        <v>157</v>
      </c>
      <c r="E386" s="1">
        <v>45871</v>
      </c>
      <c r="F386" t="s">
        <v>270</v>
      </c>
      <c r="G386">
        <v>73.94</v>
      </c>
      <c r="H386">
        <v>2025</v>
      </c>
    </row>
    <row r="387" spans="1:8" hidden="1" x14ac:dyDescent="0.25">
      <c r="A387">
        <v>985</v>
      </c>
      <c r="B387" t="s">
        <v>403</v>
      </c>
      <c r="C387" t="s">
        <v>153</v>
      </c>
      <c r="D387" t="s">
        <v>154</v>
      </c>
      <c r="E387" s="1">
        <v>45719</v>
      </c>
      <c r="F387" t="s">
        <v>270</v>
      </c>
      <c r="G387">
        <v>97.93</v>
      </c>
      <c r="H387">
        <v>2025</v>
      </c>
    </row>
    <row r="388" spans="1:8" hidden="1" x14ac:dyDescent="0.25">
      <c r="A388">
        <v>988</v>
      </c>
      <c r="B388" t="s">
        <v>404</v>
      </c>
      <c r="C388" t="s">
        <v>153</v>
      </c>
      <c r="D388" t="s">
        <v>154</v>
      </c>
      <c r="E388" s="1">
        <v>45698</v>
      </c>
      <c r="F388" t="s">
        <v>270</v>
      </c>
      <c r="G388">
        <v>91.32</v>
      </c>
      <c r="H388">
        <v>2025</v>
      </c>
    </row>
    <row r="389" spans="1:8" hidden="1" x14ac:dyDescent="0.25">
      <c r="A389">
        <v>998</v>
      </c>
      <c r="B389" t="s">
        <v>405</v>
      </c>
      <c r="C389" t="s">
        <v>85</v>
      </c>
      <c r="D389" t="s">
        <v>86</v>
      </c>
      <c r="E389" s="1">
        <v>45819</v>
      </c>
      <c r="F389" t="s">
        <v>270</v>
      </c>
      <c r="G389">
        <v>79.91</v>
      </c>
      <c r="H389">
        <v>2025</v>
      </c>
    </row>
    <row r="390" spans="1:8" hidden="1" x14ac:dyDescent="0.25">
      <c r="A390">
        <v>11</v>
      </c>
      <c r="B390" t="s">
        <v>406</v>
      </c>
      <c r="C390" t="s">
        <v>9</v>
      </c>
      <c r="D390" t="s">
        <v>10</v>
      </c>
      <c r="E390" s="1">
        <v>45669</v>
      </c>
      <c r="F390" t="s">
        <v>270</v>
      </c>
      <c r="G390">
        <v>97.91</v>
      </c>
      <c r="H390">
        <v>2025</v>
      </c>
    </row>
    <row r="391" spans="1:8" hidden="1" x14ac:dyDescent="0.25">
      <c r="A391">
        <v>55</v>
      </c>
      <c r="B391" t="s">
        <v>407</v>
      </c>
      <c r="C391" t="s">
        <v>9</v>
      </c>
      <c r="D391" t="s">
        <v>10</v>
      </c>
      <c r="E391" s="1">
        <v>45701</v>
      </c>
      <c r="F391" t="s">
        <v>270</v>
      </c>
      <c r="G391">
        <v>77.66</v>
      </c>
      <c r="H391">
        <v>2025</v>
      </c>
    </row>
    <row r="392" spans="1:8" hidden="1" x14ac:dyDescent="0.25">
      <c r="A392">
        <v>64</v>
      </c>
      <c r="B392" t="s">
        <v>408</v>
      </c>
      <c r="C392" t="s">
        <v>9</v>
      </c>
      <c r="D392" t="s">
        <v>10</v>
      </c>
      <c r="E392" s="1">
        <v>45892</v>
      </c>
      <c r="F392" t="s">
        <v>270</v>
      </c>
      <c r="G392">
        <v>89.2</v>
      </c>
      <c r="H392">
        <v>2025</v>
      </c>
    </row>
    <row r="393" spans="1:8" hidden="1" x14ac:dyDescent="0.25">
      <c r="A393">
        <v>75</v>
      </c>
      <c r="B393" t="s">
        <v>409</v>
      </c>
      <c r="C393" t="s">
        <v>9</v>
      </c>
      <c r="D393" t="s">
        <v>10</v>
      </c>
      <c r="E393" s="1">
        <v>45766</v>
      </c>
      <c r="F393" t="s">
        <v>270</v>
      </c>
      <c r="G393">
        <v>84.37</v>
      </c>
      <c r="H393">
        <v>2025</v>
      </c>
    </row>
    <row r="394" spans="1:8" hidden="1" x14ac:dyDescent="0.25">
      <c r="A394">
        <v>76</v>
      </c>
      <c r="B394" t="s">
        <v>410</v>
      </c>
      <c r="C394" t="s">
        <v>9</v>
      </c>
      <c r="D394" t="s">
        <v>10</v>
      </c>
      <c r="E394" s="1">
        <v>45711</v>
      </c>
      <c r="F394" t="s">
        <v>270</v>
      </c>
      <c r="G394">
        <v>93.59</v>
      </c>
      <c r="H394">
        <v>2025</v>
      </c>
    </row>
    <row r="395" spans="1:8" hidden="1" x14ac:dyDescent="0.25">
      <c r="A395">
        <v>86</v>
      </c>
      <c r="B395" t="s">
        <v>411</v>
      </c>
      <c r="C395" t="s">
        <v>9</v>
      </c>
      <c r="D395" t="s">
        <v>10</v>
      </c>
      <c r="E395" s="1">
        <v>45896</v>
      </c>
      <c r="F395" t="s">
        <v>270</v>
      </c>
      <c r="G395">
        <v>86.57</v>
      </c>
      <c r="H395">
        <v>2025</v>
      </c>
    </row>
    <row r="396" spans="1:8" hidden="1" x14ac:dyDescent="0.25">
      <c r="A396">
        <v>87</v>
      </c>
      <c r="B396" t="s">
        <v>412</v>
      </c>
      <c r="C396" t="s">
        <v>9</v>
      </c>
      <c r="D396" t="s">
        <v>10</v>
      </c>
      <c r="E396" s="1">
        <v>45710</v>
      </c>
      <c r="F396" t="s">
        <v>270</v>
      </c>
      <c r="G396">
        <v>77.930000000000007</v>
      </c>
      <c r="H396">
        <v>2025</v>
      </c>
    </row>
    <row r="397" spans="1:8" hidden="1" x14ac:dyDescent="0.25">
      <c r="A397">
        <v>106</v>
      </c>
      <c r="B397" t="s">
        <v>413</v>
      </c>
      <c r="C397" t="s">
        <v>9</v>
      </c>
      <c r="D397" t="s">
        <v>10</v>
      </c>
      <c r="E397" s="1">
        <v>45923</v>
      </c>
      <c r="F397" t="s">
        <v>270</v>
      </c>
      <c r="G397">
        <v>99.38</v>
      </c>
      <c r="H397">
        <v>2025</v>
      </c>
    </row>
    <row r="398" spans="1:8" hidden="1" x14ac:dyDescent="0.25">
      <c r="A398">
        <v>123</v>
      </c>
      <c r="B398" t="s">
        <v>414</v>
      </c>
      <c r="C398" t="s">
        <v>9</v>
      </c>
      <c r="D398" t="s">
        <v>10</v>
      </c>
      <c r="E398" s="1">
        <v>45678</v>
      </c>
      <c r="F398" t="s">
        <v>270</v>
      </c>
      <c r="G398">
        <v>77.94</v>
      </c>
      <c r="H398">
        <v>2025</v>
      </c>
    </row>
    <row r="399" spans="1:8" hidden="1" x14ac:dyDescent="0.25">
      <c r="A399">
        <v>125</v>
      </c>
      <c r="B399" t="s">
        <v>415</v>
      </c>
      <c r="C399" t="s">
        <v>9</v>
      </c>
      <c r="D399" t="s">
        <v>10</v>
      </c>
      <c r="E399" s="1">
        <v>45716</v>
      </c>
      <c r="F399" t="s">
        <v>270</v>
      </c>
      <c r="G399">
        <v>75.45</v>
      </c>
      <c r="H399">
        <v>2025</v>
      </c>
    </row>
    <row r="400" spans="1:8" hidden="1" x14ac:dyDescent="0.25">
      <c r="A400">
        <v>131</v>
      </c>
      <c r="B400" t="s">
        <v>416</v>
      </c>
      <c r="C400" t="s">
        <v>9</v>
      </c>
      <c r="D400" t="s">
        <v>10</v>
      </c>
      <c r="E400" s="1">
        <v>45940</v>
      </c>
      <c r="F400" t="s">
        <v>270</v>
      </c>
      <c r="G400">
        <v>84.12</v>
      </c>
      <c r="H400">
        <v>2025</v>
      </c>
    </row>
    <row r="401" spans="1:8" hidden="1" x14ac:dyDescent="0.25">
      <c r="A401">
        <v>137</v>
      </c>
      <c r="B401" t="s">
        <v>417</v>
      </c>
      <c r="C401" t="s">
        <v>9</v>
      </c>
      <c r="D401" t="s">
        <v>10</v>
      </c>
      <c r="E401" s="1">
        <v>45737</v>
      </c>
      <c r="F401" t="s">
        <v>270</v>
      </c>
      <c r="G401">
        <v>77.5</v>
      </c>
      <c r="H401">
        <v>2025</v>
      </c>
    </row>
    <row r="402" spans="1:8" hidden="1" x14ac:dyDescent="0.25">
      <c r="A402">
        <v>165</v>
      </c>
      <c r="B402" t="s">
        <v>418</v>
      </c>
      <c r="C402" t="s">
        <v>9</v>
      </c>
      <c r="D402" t="s">
        <v>10</v>
      </c>
      <c r="E402" s="1">
        <v>45659</v>
      </c>
      <c r="F402" t="s">
        <v>270</v>
      </c>
      <c r="G402">
        <v>77.48</v>
      </c>
      <c r="H402">
        <v>2025</v>
      </c>
    </row>
    <row r="403" spans="1:8" hidden="1" x14ac:dyDescent="0.25">
      <c r="A403">
        <v>178</v>
      </c>
      <c r="B403" t="s">
        <v>419</v>
      </c>
      <c r="C403" t="s">
        <v>9</v>
      </c>
      <c r="D403" t="s">
        <v>10</v>
      </c>
      <c r="E403" s="1">
        <v>45809</v>
      </c>
      <c r="F403" t="s">
        <v>270</v>
      </c>
      <c r="G403">
        <v>84.96</v>
      </c>
      <c r="H403">
        <v>2025</v>
      </c>
    </row>
    <row r="404" spans="1:8" hidden="1" x14ac:dyDescent="0.25">
      <c r="A404">
        <v>182</v>
      </c>
      <c r="B404" t="s">
        <v>420</v>
      </c>
      <c r="C404" t="s">
        <v>9</v>
      </c>
      <c r="D404" t="s">
        <v>10</v>
      </c>
      <c r="E404" s="1">
        <v>45940</v>
      </c>
      <c r="F404" t="s">
        <v>270</v>
      </c>
      <c r="G404">
        <v>91.82</v>
      </c>
      <c r="H404">
        <v>2025</v>
      </c>
    </row>
    <row r="405" spans="1:8" hidden="1" x14ac:dyDescent="0.25">
      <c r="A405">
        <v>187</v>
      </c>
      <c r="B405" t="s">
        <v>421</v>
      </c>
      <c r="C405" t="s">
        <v>9</v>
      </c>
      <c r="D405" t="s">
        <v>10</v>
      </c>
      <c r="E405" s="1">
        <v>46000</v>
      </c>
      <c r="F405" t="s">
        <v>270</v>
      </c>
      <c r="G405">
        <v>73.510000000000005</v>
      </c>
      <c r="H405">
        <v>2025</v>
      </c>
    </row>
    <row r="406" spans="1:8" hidden="1" x14ac:dyDescent="0.25">
      <c r="A406">
        <v>216</v>
      </c>
      <c r="B406" t="s">
        <v>422</v>
      </c>
      <c r="C406" t="s">
        <v>9</v>
      </c>
      <c r="D406" t="s">
        <v>10</v>
      </c>
      <c r="E406" s="1">
        <v>45855</v>
      </c>
      <c r="F406" t="s">
        <v>270</v>
      </c>
      <c r="G406">
        <v>83.13</v>
      </c>
      <c r="H406">
        <v>2025</v>
      </c>
    </row>
    <row r="407" spans="1:8" hidden="1" x14ac:dyDescent="0.25">
      <c r="A407">
        <v>219</v>
      </c>
      <c r="B407" t="s">
        <v>423</v>
      </c>
      <c r="C407" t="s">
        <v>9</v>
      </c>
      <c r="D407" t="s">
        <v>10</v>
      </c>
      <c r="E407" s="1">
        <v>45947</v>
      </c>
      <c r="F407" t="s">
        <v>270</v>
      </c>
      <c r="G407">
        <v>70.819999999999993</v>
      </c>
      <c r="H407">
        <v>2025</v>
      </c>
    </row>
    <row r="408" spans="1:8" hidden="1" x14ac:dyDescent="0.25">
      <c r="A408">
        <v>230</v>
      </c>
      <c r="B408" t="s">
        <v>424</v>
      </c>
      <c r="C408" t="s">
        <v>9</v>
      </c>
      <c r="D408" t="s">
        <v>10</v>
      </c>
      <c r="E408" s="1">
        <v>45797</v>
      </c>
      <c r="F408" t="s">
        <v>270</v>
      </c>
      <c r="G408">
        <v>94.97</v>
      </c>
      <c r="H408">
        <v>2025</v>
      </c>
    </row>
    <row r="409" spans="1:8" hidden="1" x14ac:dyDescent="0.25">
      <c r="A409">
        <v>243</v>
      </c>
      <c r="B409" t="s">
        <v>425</v>
      </c>
      <c r="C409" t="s">
        <v>9</v>
      </c>
      <c r="D409" t="s">
        <v>10</v>
      </c>
      <c r="E409" s="1">
        <v>45936</v>
      </c>
      <c r="F409" t="s">
        <v>270</v>
      </c>
      <c r="G409">
        <v>72.11</v>
      </c>
      <c r="H409">
        <v>2025</v>
      </c>
    </row>
    <row r="410" spans="1:8" hidden="1" x14ac:dyDescent="0.25">
      <c r="A410">
        <v>248</v>
      </c>
      <c r="B410" t="s">
        <v>426</v>
      </c>
      <c r="C410" t="s">
        <v>9</v>
      </c>
      <c r="D410" t="s">
        <v>10</v>
      </c>
      <c r="E410" s="1">
        <v>45997</v>
      </c>
      <c r="F410" t="s">
        <v>270</v>
      </c>
      <c r="G410">
        <v>97.77</v>
      </c>
      <c r="H410">
        <v>2025</v>
      </c>
    </row>
    <row r="411" spans="1:8" hidden="1" x14ac:dyDescent="0.25">
      <c r="A411">
        <v>253</v>
      </c>
      <c r="B411" t="s">
        <v>427</v>
      </c>
      <c r="C411" t="s">
        <v>9</v>
      </c>
      <c r="D411" t="s">
        <v>10</v>
      </c>
      <c r="E411" s="1">
        <v>45767</v>
      </c>
      <c r="F411" t="s">
        <v>270</v>
      </c>
      <c r="G411">
        <v>72.86</v>
      </c>
      <c r="H411">
        <v>2025</v>
      </c>
    </row>
    <row r="412" spans="1:8" hidden="1" x14ac:dyDescent="0.25">
      <c r="A412">
        <v>274</v>
      </c>
      <c r="B412" t="s">
        <v>428</v>
      </c>
      <c r="C412" t="s">
        <v>9</v>
      </c>
      <c r="D412" t="s">
        <v>10</v>
      </c>
      <c r="E412" s="1">
        <v>45670</v>
      </c>
      <c r="F412" t="s">
        <v>270</v>
      </c>
      <c r="G412">
        <v>82.21</v>
      </c>
      <c r="H412">
        <v>2025</v>
      </c>
    </row>
    <row r="413" spans="1:8" hidden="1" x14ac:dyDescent="0.25">
      <c r="A413">
        <v>281</v>
      </c>
      <c r="B413" t="s">
        <v>429</v>
      </c>
      <c r="C413" t="s">
        <v>9</v>
      </c>
      <c r="D413" t="s">
        <v>10</v>
      </c>
      <c r="E413" s="1">
        <v>45734</v>
      </c>
      <c r="F413" t="s">
        <v>270</v>
      </c>
      <c r="G413">
        <v>85.77</v>
      </c>
      <c r="H413">
        <v>2025</v>
      </c>
    </row>
    <row r="414" spans="1:8" hidden="1" x14ac:dyDescent="0.25">
      <c r="A414">
        <v>300</v>
      </c>
      <c r="B414" t="s">
        <v>430</v>
      </c>
      <c r="C414" t="s">
        <v>9</v>
      </c>
      <c r="D414" t="s">
        <v>10</v>
      </c>
      <c r="E414" s="1">
        <v>45769</v>
      </c>
      <c r="F414" t="s">
        <v>270</v>
      </c>
      <c r="G414">
        <v>74.37</v>
      </c>
      <c r="H414">
        <v>2025</v>
      </c>
    </row>
    <row r="415" spans="1:8" hidden="1" x14ac:dyDescent="0.25">
      <c r="A415">
        <v>318</v>
      </c>
      <c r="B415" t="s">
        <v>431</v>
      </c>
      <c r="C415" t="s">
        <v>9</v>
      </c>
      <c r="D415" t="s">
        <v>10</v>
      </c>
      <c r="E415" s="1">
        <v>45970</v>
      </c>
      <c r="F415" t="s">
        <v>270</v>
      </c>
      <c r="G415">
        <v>87.93</v>
      </c>
      <c r="H415">
        <v>2025</v>
      </c>
    </row>
    <row r="416" spans="1:8" hidden="1" x14ac:dyDescent="0.25">
      <c r="A416">
        <v>323</v>
      </c>
      <c r="B416" t="s">
        <v>432</v>
      </c>
      <c r="C416" t="s">
        <v>9</v>
      </c>
      <c r="D416" t="s">
        <v>10</v>
      </c>
      <c r="E416" s="1">
        <v>45685</v>
      </c>
      <c r="F416" t="s">
        <v>270</v>
      </c>
      <c r="G416">
        <v>83.31</v>
      </c>
      <c r="H416">
        <v>2025</v>
      </c>
    </row>
    <row r="417" spans="1:8" hidden="1" x14ac:dyDescent="0.25">
      <c r="A417">
        <v>337</v>
      </c>
      <c r="B417" t="s">
        <v>433</v>
      </c>
      <c r="C417" t="s">
        <v>9</v>
      </c>
      <c r="D417" t="s">
        <v>10</v>
      </c>
      <c r="E417" s="1">
        <v>45766</v>
      </c>
      <c r="F417" t="s">
        <v>270</v>
      </c>
      <c r="G417">
        <v>90.3</v>
      </c>
      <c r="H417">
        <v>2025</v>
      </c>
    </row>
    <row r="418" spans="1:8" hidden="1" x14ac:dyDescent="0.25">
      <c r="A418">
        <v>347</v>
      </c>
      <c r="B418" t="s">
        <v>434</v>
      </c>
      <c r="C418" t="s">
        <v>9</v>
      </c>
      <c r="D418" t="s">
        <v>10</v>
      </c>
      <c r="E418" s="1">
        <v>45888</v>
      </c>
      <c r="F418" t="s">
        <v>270</v>
      </c>
      <c r="G418">
        <v>85.63</v>
      </c>
      <c r="H418">
        <v>2025</v>
      </c>
    </row>
    <row r="419" spans="1:8" hidden="1" x14ac:dyDescent="0.25">
      <c r="A419">
        <v>359</v>
      </c>
      <c r="B419" t="s">
        <v>435</v>
      </c>
      <c r="C419" t="s">
        <v>9</v>
      </c>
      <c r="D419" t="s">
        <v>10</v>
      </c>
      <c r="E419" s="1">
        <v>45919</v>
      </c>
      <c r="F419" t="s">
        <v>270</v>
      </c>
      <c r="G419">
        <v>77</v>
      </c>
      <c r="H419">
        <v>2025</v>
      </c>
    </row>
    <row r="420" spans="1:8" hidden="1" x14ac:dyDescent="0.25">
      <c r="A420">
        <v>369</v>
      </c>
      <c r="B420" t="s">
        <v>436</v>
      </c>
      <c r="C420" t="s">
        <v>9</v>
      </c>
      <c r="D420" t="s">
        <v>10</v>
      </c>
      <c r="E420" s="1">
        <v>46021</v>
      </c>
      <c r="F420" t="s">
        <v>270</v>
      </c>
      <c r="G420">
        <v>73.7</v>
      </c>
      <c r="H420">
        <v>2025</v>
      </c>
    </row>
    <row r="421" spans="1:8" hidden="1" x14ac:dyDescent="0.25">
      <c r="A421">
        <v>377</v>
      </c>
      <c r="B421" t="s">
        <v>437</v>
      </c>
      <c r="C421" t="s">
        <v>9</v>
      </c>
      <c r="D421" t="s">
        <v>10</v>
      </c>
      <c r="E421" s="1">
        <v>45718</v>
      </c>
      <c r="F421" t="s">
        <v>270</v>
      </c>
      <c r="G421">
        <v>83.52</v>
      </c>
      <c r="H421">
        <v>2025</v>
      </c>
    </row>
    <row r="422" spans="1:8" hidden="1" x14ac:dyDescent="0.25">
      <c r="A422">
        <v>478</v>
      </c>
      <c r="B422" t="s">
        <v>438</v>
      </c>
      <c r="C422" t="s">
        <v>9</v>
      </c>
      <c r="D422" t="s">
        <v>10</v>
      </c>
      <c r="E422" s="1">
        <v>45819</v>
      </c>
      <c r="F422" t="s">
        <v>270</v>
      </c>
      <c r="G422">
        <v>70.489999999999995</v>
      </c>
      <c r="H422">
        <v>2025</v>
      </c>
    </row>
    <row r="423" spans="1:8" hidden="1" x14ac:dyDescent="0.25">
      <c r="A423">
        <v>479</v>
      </c>
      <c r="B423" t="s">
        <v>439</v>
      </c>
      <c r="C423" t="s">
        <v>9</v>
      </c>
      <c r="D423" t="s">
        <v>10</v>
      </c>
      <c r="E423" s="1">
        <v>45959</v>
      </c>
      <c r="F423" t="s">
        <v>270</v>
      </c>
      <c r="G423">
        <v>71.33</v>
      </c>
      <c r="H423">
        <v>2025</v>
      </c>
    </row>
    <row r="424" spans="1:8" hidden="1" x14ac:dyDescent="0.25">
      <c r="A424">
        <v>500</v>
      </c>
      <c r="B424" t="s">
        <v>440</v>
      </c>
      <c r="C424" t="s">
        <v>9</v>
      </c>
      <c r="D424" t="s">
        <v>10</v>
      </c>
      <c r="E424" s="1">
        <v>45988</v>
      </c>
      <c r="F424" t="s">
        <v>270</v>
      </c>
      <c r="G424">
        <v>70.38</v>
      </c>
      <c r="H424">
        <v>2025</v>
      </c>
    </row>
    <row r="425" spans="1:8" hidden="1" x14ac:dyDescent="0.25">
      <c r="A425">
        <v>501</v>
      </c>
      <c r="B425" t="s">
        <v>441</v>
      </c>
      <c r="C425" t="s">
        <v>9</v>
      </c>
      <c r="D425" t="s">
        <v>10</v>
      </c>
      <c r="E425" s="1">
        <v>45780</v>
      </c>
      <c r="F425" t="s">
        <v>270</v>
      </c>
      <c r="G425">
        <v>75.09</v>
      </c>
      <c r="H425">
        <v>2025</v>
      </c>
    </row>
    <row r="426" spans="1:8" hidden="1" x14ac:dyDescent="0.25">
      <c r="A426">
        <v>531</v>
      </c>
      <c r="B426" t="s">
        <v>442</v>
      </c>
      <c r="C426" t="s">
        <v>9</v>
      </c>
      <c r="D426" t="s">
        <v>10</v>
      </c>
      <c r="E426" s="1">
        <v>45881</v>
      </c>
      <c r="F426" t="s">
        <v>270</v>
      </c>
      <c r="G426">
        <v>98.13</v>
      </c>
      <c r="H426">
        <v>2025</v>
      </c>
    </row>
    <row r="427" spans="1:8" hidden="1" x14ac:dyDescent="0.25">
      <c r="A427">
        <v>644</v>
      </c>
      <c r="B427" t="s">
        <v>443</v>
      </c>
      <c r="C427" t="s">
        <v>9</v>
      </c>
      <c r="D427" t="s">
        <v>10</v>
      </c>
      <c r="E427" s="1">
        <v>45936</v>
      </c>
      <c r="F427" t="s">
        <v>270</v>
      </c>
      <c r="G427">
        <v>87.94</v>
      </c>
      <c r="H427">
        <v>2025</v>
      </c>
    </row>
    <row r="428" spans="1:8" hidden="1" x14ac:dyDescent="0.25">
      <c r="A428">
        <v>648</v>
      </c>
      <c r="B428" t="s">
        <v>444</v>
      </c>
      <c r="C428" t="s">
        <v>9</v>
      </c>
      <c r="D428" t="s">
        <v>10</v>
      </c>
      <c r="E428" s="1">
        <v>45761</v>
      </c>
      <c r="F428" t="s">
        <v>270</v>
      </c>
      <c r="G428">
        <v>85.1</v>
      </c>
      <c r="H428">
        <v>2025</v>
      </c>
    </row>
    <row r="429" spans="1:8" hidden="1" x14ac:dyDescent="0.25">
      <c r="A429">
        <v>667</v>
      </c>
      <c r="B429" t="s">
        <v>445</v>
      </c>
      <c r="C429" t="s">
        <v>9</v>
      </c>
      <c r="D429" t="s">
        <v>10</v>
      </c>
      <c r="E429" s="1">
        <v>45688</v>
      </c>
      <c r="F429" t="s">
        <v>270</v>
      </c>
      <c r="G429">
        <v>91.72</v>
      </c>
      <c r="H429">
        <v>2025</v>
      </c>
    </row>
    <row r="430" spans="1:8" hidden="1" x14ac:dyDescent="0.25">
      <c r="A430">
        <v>668</v>
      </c>
      <c r="B430" t="s">
        <v>446</v>
      </c>
      <c r="C430" t="s">
        <v>9</v>
      </c>
      <c r="D430" t="s">
        <v>10</v>
      </c>
      <c r="E430" s="1">
        <v>46019</v>
      </c>
      <c r="F430" t="s">
        <v>270</v>
      </c>
      <c r="G430">
        <v>86.03</v>
      </c>
      <c r="H430">
        <v>2025</v>
      </c>
    </row>
    <row r="431" spans="1:8" hidden="1" x14ac:dyDescent="0.25">
      <c r="A431">
        <v>701</v>
      </c>
      <c r="B431" t="s">
        <v>447</v>
      </c>
      <c r="C431" t="s">
        <v>9</v>
      </c>
      <c r="D431" t="s">
        <v>10</v>
      </c>
      <c r="E431" s="1">
        <v>45974</v>
      </c>
      <c r="F431" t="s">
        <v>270</v>
      </c>
      <c r="G431">
        <v>77.790000000000006</v>
      </c>
      <c r="H431">
        <v>2025</v>
      </c>
    </row>
    <row r="432" spans="1:8" hidden="1" x14ac:dyDescent="0.25">
      <c r="A432">
        <v>713</v>
      </c>
      <c r="B432" t="s">
        <v>448</v>
      </c>
      <c r="C432" t="s">
        <v>9</v>
      </c>
      <c r="D432" t="s">
        <v>10</v>
      </c>
      <c r="E432" s="1">
        <v>45954</v>
      </c>
      <c r="F432" t="s">
        <v>270</v>
      </c>
      <c r="G432">
        <v>91.17</v>
      </c>
      <c r="H432">
        <v>2025</v>
      </c>
    </row>
    <row r="433" spans="1:8" hidden="1" x14ac:dyDescent="0.25">
      <c r="A433">
        <v>720</v>
      </c>
      <c r="B433" t="s">
        <v>449</v>
      </c>
      <c r="C433" t="s">
        <v>9</v>
      </c>
      <c r="D433" t="s">
        <v>10</v>
      </c>
      <c r="E433" s="1">
        <v>45813</v>
      </c>
      <c r="F433" t="s">
        <v>270</v>
      </c>
      <c r="G433">
        <v>90.26</v>
      </c>
      <c r="H433">
        <v>2025</v>
      </c>
    </row>
    <row r="434" spans="1:8" hidden="1" x14ac:dyDescent="0.25">
      <c r="A434">
        <v>755</v>
      </c>
      <c r="B434" t="s">
        <v>450</v>
      </c>
      <c r="C434" t="s">
        <v>9</v>
      </c>
      <c r="D434" t="s">
        <v>10</v>
      </c>
      <c r="E434" s="1">
        <v>45694</v>
      </c>
      <c r="F434" t="s">
        <v>270</v>
      </c>
      <c r="G434">
        <v>83.46</v>
      </c>
      <c r="H434">
        <v>2025</v>
      </c>
    </row>
    <row r="435" spans="1:8" hidden="1" x14ac:dyDescent="0.25">
      <c r="A435">
        <v>765</v>
      </c>
      <c r="B435" t="s">
        <v>451</v>
      </c>
      <c r="C435" t="s">
        <v>9</v>
      </c>
      <c r="D435" t="s">
        <v>10</v>
      </c>
      <c r="E435" s="1">
        <v>45728</v>
      </c>
      <c r="F435" t="s">
        <v>270</v>
      </c>
      <c r="G435">
        <v>97.17</v>
      </c>
      <c r="H435">
        <v>2025</v>
      </c>
    </row>
    <row r="436" spans="1:8" hidden="1" x14ac:dyDescent="0.25">
      <c r="A436">
        <v>780</v>
      </c>
      <c r="B436" t="s">
        <v>452</v>
      </c>
      <c r="C436" t="s">
        <v>9</v>
      </c>
      <c r="D436" t="s">
        <v>10</v>
      </c>
      <c r="E436" s="1">
        <v>45863</v>
      </c>
      <c r="F436" t="s">
        <v>270</v>
      </c>
      <c r="G436">
        <v>71.5</v>
      </c>
      <c r="H436">
        <v>2025</v>
      </c>
    </row>
    <row r="437" spans="1:8" hidden="1" x14ac:dyDescent="0.25">
      <c r="A437">
        <v>786</v>
      </c>
      <c r="B437" t="s">
        <v>453</v>
      </c>
      <c r="C437" t="s">
        <v>9</v>
      </c>
      <c r="D437" t="s">
        <v>10</v>
      </c>
      <c r="E437" s="1">
        <v>45986</v>
      </c>
      <c r="F437" t="s">
        <v>270</v>
      </c>
      <c r="G437">
        <v>87.64</v>
      </c>
      <c r="H437">
        <v>2025</v>
      </c>
    </row>
    <row r="438" spans="1:8" hidden="1" x14ac:dyDescent="0.25">
      <c r="A438">
        <v>793</v>
      </c>
      <c r="B438" t="s">
        <v>454</v>
      </c>
      <c r="C438" t="s">
        <v>9</v>
      </c>
      <c r="D438" t="s">
        <v>10</v>
      </c>
      <c r="E438" s="1">
        <v>45825</v>
      </c>
      <c r="F438" t="s">
        <v>270</v>
      </c>
      <c r="G438">
        <v>71</v>
      </c>
      <c r="H438">
        <v>2025</v>
      </c>
    </row>
    <row r="439" spans="1:8" hidden="1" x14ac:dyDescent="0.25">
      <c r="A439">
        <v>804</v>
      </c>
      <c r="B439" t="s">
        <v>455</v>
      </c>
      <c r="C439" t="s">
        <v>9</v>
      </c>
      <c r="D439" t="s">
        <v>10</v>
      </c>
      <c r="E439" s="1">
        <v>45951</v>
      </c>
      <c r="F439" t="s">
        <v>270</v>
      </c>
      <c r="G439">
        <v>72.180000000000007</v>
      </c>
      <c r="H439">
        <v>2025</v>
      </c>
    </row>
    <row r="440" spans="1:8" hidden="1" x14ac:dyDescent="0.25">
      <c r="A440">
        <v>836</v>
      </c>
      <c r="B440" t="s">
        <v>456</v>
      </c>
      <c r="C440" t="s">
        <v>9</v>
      </c>
      <c r="D440" t="s">
        <v>10</v>
      </c>
      <c r="E440" s="1">
        <v>45999</v>
      </c>
      <c r="F440" t="s">
        <v>270</v>
      </c>
      <c r="G440">
        <v>97.97</v>
      </c>
      <c r="H440">
        <v>2025</v>
      </c>
    </row>
    <row r="441" spans="1:8" hidden="1" x14ac:dyDescent="0.25">
      <c r="A441">
        <v>858</v>
      </c>
      <c r="B441" t="s">
        <v>457</v>
      </c>
      <c r="C441" t="s">
        <v>9</v>
      </c>
      <c r="D441" t="s">
        <v>10</v>
      </c>
      <c r="E441" s="1">
        <v>45928</v>
      </c>
      <c r="F441" t="s">
        <v>270</v>
      </c>
      <c r="G441">
        <v>76.66</v>
      </c>
      <c r="H441">
        <v>2025</v>
      </c>
    </row>
    <row r="442" spans="1:8" hidden="1" x14ac:dyDescent="0.25">
      <c r="A442">
        <v>867</v>
      </c>
      <c r="B442" t="s">
        <v>458</v>
      </c>
      <c r="C442" t="s">
        <v>9</v>
      </c>
      <c r="D442" t="s">
        <v>10</v>
      </c>
      <c r="E442" s="1">
        <v>45784</v>
      </c>
      <c r="F442" t="s">
        <v>270</v>
      </c>
      <c r="G442">
        <v>79.16</v>
      </c>
      <c r="H442">
        <v>2025</v>
      </c>
    </row>
    <row r="443" spans="1:8" hidden="1" x14ac:dyDescent="0.25">
      <c r="A443">
        <v>871</v>
      </c>
      <c r="B443" t="s">
        <v>459</v>
      </c>
      <c r="C443" t="s">
        <v>9</v>
      </c>
      <c r="D443" t="s">
        <v>10</v>
      </c>
      <c r="E443" s="1">
        <v>45724</v>
      </c>
      <c r="F443" t="s">
        <v>270</v>
      </c>
      <c r="G443">
        <v>83.12</v>
      </c>
      <c r="H443">
        <v>2025</v>
      </c>
    </row>
    <row r="444" spans="1:8" hidden="1" x14ac:dyDescent="0.25">
      <c r="A444">
        <v>886</v>
      </c>
      <c r="B444" t="s">
        <v>460</v>
      </c>
      <c r="C444" t="s">
        <v>9</v>
      </c>
      <c r="D444" t="s">
        <v>10</v>
      </c>
      <c r="E444" s="1">
        <v>45743</v>
      </c>
      <c r="F444" t="s">
        <v>270</v>
      </c>
      <c r="G444">
        <v>92.74</v>
      </c>
      <c r="H444">
        <v>2025</v>
      </c>
    </row>
    <row r="445" spans="1:8" hidden="1" x14ac:dyDescent="0.25">
      <c r="A445">
        <v>889</v>
      </c>
      <c r="B445" t="s">
        <v>461</v>
      </c>
      <c r="C445" t="s">
        <v>9</v>
      </c>
      <c r="D445" t="s">
        <v>10</v>
      </c>
      <c r="E445" s="1">
        <v>45849</v>
      </c>
      <c r="F445" t="s">
        <v>270</v>
      </c>
      <c r="G445">
        <v>82.74</v>
      </c>
      <c r="H445">
        <v>2025</v>
      </c>
    </row>
    <row r="446" spans="1:8" hidden="1" x14ac:dyDescent="0.25">
      <c r="A446">
        <v>894</v>
      </c>
      <c r="B446" t="s">
        <v>462</v>
      </c>
      <c r="C446" t="s">
        <v>9</v>
      </c>
      <c r="D446" t="s">
        <v>10</v>
      </c>
      <c r="E446" s="1">
        <v>45898</v>
      </c>
      <c r="F446" t="s">
        <v>270</v>
      </c>
      <c r="G446">
        <v>78.040000000000006</v>
      </c>
      <c r="H446">
        <v>2025</v>
      </c>
    </row>
    <row r="447" spans="1:8" hidden="1" x14ac:dyDescent="0.25">
      <c r="A447">
        <v>898</v>
      </c>
      <c r="B447" t="s">
        <v>463</v>
      </c>
      <c r="C447" t="s">
        <v>9</v>
      </c>
      <c r="D447" t="s">
        <v>10</v>
      </c>
      <c r="E447" s="1">
        <v>45804</v>
      </c>
      <c r="F447" t="s">
        <v>270</v>
      </c>
      <c r="G447">
        <v>95.01</v>
      </c>
      <c r="H447">
        <v>2025</v>
      </c>
    </row>
    <row r="448" spans="1:8" hidden="1" x14ac:dyDescent="0.25">
      <c r="A448">
        <v>900</v>
      </c>
      <c r="B448" t="s">
        <v>464</v>
      </c>
      <c r="C448" t="s">
        <v>9</v>
      </c>
      <c r="D448" t="s">
        <v>10</v>
      </c>
      <c r="E448" s="1">
        <v>45810</v>
      </c>
      <c r="F448" t="s">
        <v>270</v>
      </c>
      <c r="G448">
        <v>70.61</v>
      </c>
      <c r="H448">
        <v>2025</v>
      </c>
    </row>
    <row r="449" spans="1:8" hidden="1" x14ac:dyDescent="0.25">
      <c r="A449">
        <v>909</v>
      </c>
      <c r="B449" t="s">
        <v>465</v>
      </c>
      <c r="C449" t="s">
        <v>9</v>
      </c>
      <c r="D449" t="s">
        <v>10</v>
      </c>
      <c r="E449" s="1">
        <v>46011</v>
      </c>
      <c r="F449" t="s">
        <v>270</v>
      </c>
      <c r="G449">
        <v>98.64</v>
      </c>
      <c r="H449">
        <v>2025</v>
      </c>
    </row>
    <row r="450" spans="1:8" hidden="1" x14ac:dyDescent="0.25">
      <c r="A450">
        <v>943</v>
      </c>
      <c r="B450" t="s">
        <v>466</v>
      </c>
      <c r="C450" t="s">
        <v>9</v>
      </c>
      <c r="D450" t="s">
        <v>10</v>
      </c>
      <c r="E450" s="1">
        <v>45959</v>
      </c>
      <c r="F450" t="s">
        <v>270</v>
      </c>
      <c r="G450">
        <v>74.760000000000005</v>
      </c>
      <c r="H450">
        <v>2025</v>
      </c>
    </row>
    <row r="451" spans="1:8" hidden="1" x14ac:dyDescent="0.25">
      <c r="A451">
        <v>975</v>
      </c>
      <c r="B451" t="s">
        <v>467</v>
      </c>
      <c r="C451" t="s">
        <v>9</v>
      </c>
      <c r="D451" t="s">
        <v>10</v>
      </c>
      <c r="E451" s="1">
        <v>45681</v>
      </c>
      <c r="F451" t="s">
        <v>270</v>
      </c>
      <c r="G451">
        <v>88.52</v>
      </c>
      <c r="H451">
        <v>2025</v>
      </c>
    </row>
    <row r="452" spans="1:8" hidden="1" x14ac:dyDescent="0.25">
      <c r="A452">
        <v>982</v>
      </c>
      <c r="B452" t="s">
        <v>468</v>
      </c>
      <c r="C452" t="s">
        <v>9</v>
      </c>
      <c r="D452" t="s">
        <v>10</v>
      </c>
      <c r="E452" s="1">
        <v>46013</v>
      </c>
      <c r="F452" t="s">
        <v>270</v>
      </c>
      <c r="G452">
        <v>92.92</v>
      </c>
      <c r="H452">
        <v>2025</v>
      </c>
    </row>
    <row r="453" spans="1:8" hidden="1" x14ac:dyDescent="0.25">
      <c r="A453">
        <v>995</v>
      </c>
      <c r="B453" t="s">
        <v>469</v>
      </c>
      <c r="C453" t="s">
        <v>9</v>
      </c>
      <c r="D453" t="s">
        <v>10</v>
      </c>
      <c r="E453" s="1">
        <v>45717</v>
      </c>
      <c r="F453" t="s">
        <v>270</v>
      </c>
      <c r="G453">
        <v>98.38</v>
      </c>
      <c r="H453">
        <v>2025</v>
      </c>
    </row>
    <row r="454" spans="1:8" hidden="1" x14ac:dyDescent="0.25">
      <c r="A454">
        <v>4</v>
      </c>
      <c r="B454" t="s">
        <v>470</v>
      </c>
      <c r="C454" t="s">
        <v>9</v>
      </c>
      <c r="D454" t="s">
        <v>10</v>
      </c>
      <c r="E454" s="1">
        <v>45974</v>
      </c>
      <c r="F454" t="s">
        <v>471</v>
      </c>
      <c r="G454">
        <v>73.64</v>
      </c>
      <c r="H454">
        <v>2025</v>
      </c>
    </row>
    <row r="455" spans="1:8" hidden="1" x14ac:dyDescent="0.25">
      <c r="A455">
        <v>7</v>
      </c>
      <c r="B455" t="s">
        <v>472</v>
      </c>
      <c r="C455" t="s">
        <v>153</v>
      </c>
      <c r="D455" t="s">
        <v>154</v>
      </c>
      <c r="E455" s="1">
        <v>45744</v>
      </c>
      <c r="F455" t="s">
        <v>471</v>
      </c>
      <c r="G455">
        <v>98.3</v>
      </c>
      <c r="H455">
        <v>2025</v>
      </c>
    </row>
    <row r="456" spans="1:8" hidden="1" x14ac:dyDescent="0.25">
      <c r="A456">
        <v>8</v>
      </c>
      <c r="B456" t="s">
        <v>473</v>
      </c>
      <c r="C456" t="s">
        <v>85</v>
      </c>
      <c r="D456" t="s">
        <v>86</v>
      </c>
      <c r="E456" s="1">
        <v>45826</v>
      </c>
      <c r="F456" t="s">
        <v>471</v>
      </c>
      <c r="G456">
        <v>82.84</v>
      </c>
      <c r="H456">
        <v>2025</v>
      </c>
    </row>
    <row r="457" spans="1:8" hidden="1" x14ac:dyDescent="0.25">
      <c r="A457">
        <v>12</v>
      </c>
      <c r="B457" t="s">
        <v>474</v>
      </c>
      <c r="C457" t="s">
        <v>153</v>
      </c>
      <c r="D457" t="s">
        <v>154</v>
      </c>
      <c r="E457" s="1">
        <v>45775</v>
      </c>
      <c r="F457" t="s">
        <v>471</v>
      </c>
      <c r="G457">
        <v>91.57</v>
      </c>
      <c r="H457">
        <v>2025</v>
      </c>
    </row>
    <row r="458" spans="1:8" hidden="1" x14ac:dyDescent="0.25">
      <c r="A458">
        <v>27</v>
      </c>
      <c r="B458" t="s">
        <v>475</v>
      </c>
      <c r="C458" t="s">
        <v>153</v>
      </c>
      <c r="D458" t="s">
        <v>154</v>
      </c>
      <c r="E458" s="1">
        <v>45929</v>
      </c>
      <c r="F458" t="s">
        <v>471</v>
      </c>
      <c r="G458">
        <v>70.34</v>
      </c>
      <c r="H458">
        <v>2025</v>
      </c>
    </row>
    <row r="459" spans="1:8" hidden="1" x14ac:dyDescent="0.25">
      <c r="A459">
        <v>30</v>
      </c>
      <c r="B459" t="s">
        <v>476</v>
      </c>
      <c r="C459" t="s">
        <v>9</v>
      </c>
      <c r="D459" t="s">
        <v>10</v>
      </c>
      <c r="E459" s="1">
        <v>45763</v>
      </c>
      <c r="F459" t="s">
        <v>471</v>
      </c>
      <c r="G459">
        <v>92.14</v>
      </c>
      <c r="H459">
        <v>2025</v>
      </c>
    </row>
    <row r="460" spans="1:8" hidden="1" x14ac:dyDescent="0.25">
      <c r="A460">
        <v>38</v>
      </c>
      <c r="B460" t="s">
        <v>477</v>
      </c>
      <c r="C460" t="s">
        <v>9</v>
      </c>
      <c r="D460" t="s">
        <v>10</v>
      </c>
      <c r="E460" s="1">
        <v>45857</v>
      </c>
      <c r="F460" t="s">
        <v>471</v>
      </c>
      <c r="G460">
        <v>79.34</v>
      </c>
      <c r="H460">
        <v>2025</v>
      </c>
    </row>
    <row r="461" spans="1:8" hidden="1" x14ac:dyDescent="0.25">
      <c r="A461">
        <v>42</v>
      </c>
      <c r="B461" t="s">
        <v>478</v>
      </c>
      <c r="C461" t="s">
        <v>9</v>
      </c>
      <c r="D461" t="s">
        <v>10</v>
      </c>
      <c r="E461" s="1">
        <v>45863</v>
      </c>
      <c r="F461" t="s">
        <v>471</v>
      </c>
      <c r="G461">
        <v>90.28</v>
      </c>
      <c r="H461">
        <v>2025</v>
      </c>
    </row>
    <row r="462" spans="1:8" hidden="1" x14ac:dyDescent="0.25">
      <c r="A462">
        <v>45</v>
      </c>
      <c r="B462" t="s">
        <v>479</v>
      </c>
      <c r="C462" t="s">
        <v>85</v>
      </c>
      <c r="D462" t="s">
        <v>86</v>
      </c>
      <c r="E462" s="1">
        <v>45949</v>
      </c>
      <c r="F462" t="s">
        <v>471</v>
      </c>
      <c r="G462">
        <v>74.34</v>
      </c>
      <c r="H462">
        <v>2025</v>
      </c>
    </row>
    <row r="463" spans="1:8" hidden="1" x14ac:dyDescent="0.25">
      <c r="A463">
        <v>52</v>
      </c>
      <c r="B463" t="s">
        <v>480</v>
      </c>
      <c r="C463" t="s">
        <v>85</v>
      </c>
      <c r="D463" t="s">
        <v>86</v>
      </c>
      <c r="E463" s="1">
        <v>46000</v>
      </c>
      <c r="F463" t="s">
        <v>471</v>
      </c>
      <c r="G463">
        <v>75.61</v>
      </c>
      <c r="H463">
        <v>2025</v>
      </c>
    </row>
    <row r="464" spans="1:8" hidden="1" x14ac:dyDescent="0.25">
      <c r="A464">
        <v>58</v>
      </c>
      <c r="B464" t="s">
        <v>481</v>
      </c>
      <c r="C464" t="s">
        <v>153</v>
      </c>
      <c r="D464" t="s">
        <v>154</v>
      </c>
      <c r="E464" s="1">
        <v>45674</v>
      </c>
      <c r="F464" t="s">
        <v>471</v>
      </c>
      <c r="G464">
        <v>73.27</v>
      </c>
      <c r="H464">
        <v>2025</v>
      </c>
    </row>
    <row r="465" spans="1:8" hidden="1" x14ac:dyDescent="0.25">
      <c r="A465">
        <v>60</v>
      </c>
      <c r="B465" t="s">
        <v>482</v>
      </c>
      <c r="C465" t="s">
        <v>85</v>
      </c>
      <c r="D465" t="s">
        <v>86</v>
      </c>
      <c r="E465" s="1">
        <v>45861</v>
      </c>
      <c r="F465" t="s">
        <v>471</v>
      </c>
      <c r="G465">
        <v>95.96</v>
      </c>
      <c r="H465">
        <v>2025</v>
      </c>
    </row>
    <row r="466" spans="1:8" x14ac:dyDescent="0.25">
      <c r="A466">
        <v>70</v>
      </c>
      <c r="B466" t="s">
        <v>483</v>
      </c>
      <c r="C466" t="s">
        <v>156</v>
      </c>
      <c r="D466" t="s">
        <v>157</v>
      </c>
      <c r="E466" s="1">
        <v>45660</v>
      </c>
      <c r="F466" t="s">
        <v>471</v>
      </c>
      <c r="G466">
        <v>94.33</v>
      </c>
      <c r="H466">
        <v>2025</v>
      </c>
    </row>
    <row r="467" spans="1:8" x14ac:dyDescent="0.25">
      <c r="A467">
        <v>89</v>
      </c>
      <c r="B467" t="s">
        <v>484</v>
      </c>
      <c r="C467" t="s">
        <v>156</v>
      </c>
      <c r="D467" t="s">
        <v>157</v>
      </c>
      <c r="E467" s="1">
        <v>45857</v>
      </c>
      <c r="F467" t="s">
        <v>471</v>
      </c>
      <c r="G467">
        <v>79.58</v>
      </c>
      <c r="H467">
        <v>2025</v>
      </c>
    </row>
    <row r="468" spans="1:8" hidden="1" x14ac:dyDescent="0.25">
      <c r="A468">
        <v>94</v>
      </c>
      <c r="B468" t="s">
        <v>485</v>
      </c>
      <c r="C468" t="s">
        <v>153</v>
      </c>
      <c r="D468" t="s">
        <v>154</v>
      </c>
      <c r="E468" s="1">
        <v>45973</v>
      </c>
      <c r="F468" t="s">
        <v>471</v>
      </c>
      <c r="G468">
        <v>83.1</v>
      </c>
      <c r="H468">
        <v>2025</v>
      </c>
    </row>
    <row r="469" spans="1:8" x14ac:dyDescent="0.25">
      <c r="A469">
        <v>107</v>
      </c>
      <c r="B469" t="s">
        <v>486</v>
      </c>
      <c r="C469" t="s">
        <v>156</v>
      </c>
      <c r="D469" t="s">
        <v>157</v>
      </c>
      <c r="E469" s="1">
        <v>45722</v>
      </c>
      <c r="F469" t="s">
        <v>471</v>
      </c>
      <c r="G469">
        <v>98.01</v>
      </c>
      <c r="H469">
        <v>2025</v>
      </c>
    </row>
    <row r="470" spans="1:8" hidden="1" x14ac:dyDescent="0.25">
      <c r="A470">
        <v>111</v>
      </c>
      <c r="B470" t="s">
        <v>487</v>
      </c>
      <c r="C470" t="s">
        <v>9</v>
      </c>
      <c r="D470" t="s">
        <v>10</v>
      </c>
      <c r="E470" s="1">
        <v>45665</v>
      </c>
      <c r="F470" t="s">
        <v>471</v>
      </c>
      <c r="G470">
        <v>73.37</v>
      </c>
      <c r="H470">
        <v>2025</v>
      </c>
    </row>
    <row r="471" spans="1:8" hidden="1" x14ac:dyDescent="0.25">
      <c r="A471">
        <v>114</v>
      </c>
      <c r="B471" t="s">
        <v>488</v>
      </c>
      <c r="C471" t="s">
        <v>153</v>
      </c>
      <c r="D471" t="s">
        <v>154</v>
      </c>
      <c r="E471" s="1">
        <v>45797</v>
      </c>
      <c r="F471" t="s">
        <v>471</v>
      </c>
      <c r="G471">
        <v>90.73</v>
      </c>
      <c r="H471">
        <v>2025</v>
      </c>
    </row>
    <row r="472" spans="1:8" hidden="1" x14ac:dyDescent="0.25">
      <c r="A472">
        <v>126</v>
      </c>
      <c r="B472" t="s">
        <v>489</v>
      </c>
      <c r="C472" t="s">
        <v>153</v>
      </c>
      <c r="D472" t="s">
        <v>154</v>
      </c>
      <c r="E472" s="1">
        <v>45961</v>
      </c>
      <c r="F472" t="s">
        <v>471</v>
      </c>
      <c r="G472">
        <v>74.38</v>
      </c>
      <c r="H472">
        <v>2025</v>
      </c>
    </row>
    <row r="473" spans="1:8" hidden="1" x14ac:dyDescent="0.25">
      <c r="A473">
        <v>133</v>
      </c>
      <c r="B473" t="s">
        <v>490</v>
      </c>
      <c r="C473" t="s">
        <v>85</v>
      </c>
      <c r="D473" t="s">
        <v>86</v>
      </c>
      <c r="E473" s="1">
        <v>45780</v>
      </c>
      <c r="F473" t="s">
        <v>471</v>
      </c>
      <c r="G473">
        <v>94.83</v>
      </c>
      <c r="H473">
        <v>2025</v>
      </c>
    </row>
    <row r="474" spans="1:8" hidden="1" x14ac:dyDescent="0.25">
      <c r="A474">
        <v>139</v>
      </c>
      <c r="B474" t="s">
        <v>491</v>
      </c>
      <c r="C474" t="s">
        <v>9</v>
      </c>
      <c r="D474" t="s">
        <v>10</v>
      </c>
      <c r="E474" s="1">
        <v>45664</v>
      </c>
      <c r="F474" t="s">
        <v>471</v>
      </c>
      <c r="G474">
        <v>94.35</v>
      </c>
      <c r="H474">
        <v>2025</v>
      </c>
    </row>
    <row r="475" spans="1:8" hidden="1" x14ac:dyDescent="0.25">
      <c r="A475">
        <v>142</v>
      </c>
      <c r="B475" t="s">
        <v>492</v>
      </c>
      <c r="C475" t="s">
        <v>153</v>
      </c>
      <c r="D475" t="s">
        <v>154</v>
      </c>
      <c r="E475" s="1">
        <v>45685</v>
      </c>
      <c r="F475" t="s">
        <v>471</v>
      </c>
      <c r="G475">
        <v>76.739999999999995</v>
      </c>
      <c r="H475">
        <v>2025</v>
      </c>
    </row>
    <row r="476" spans="1:8" hidden="1" x14ac:dyDescent="0.25">
      <c r="A476">
        <v>152</v>
      </c>
      <c r="B476" t="s">
        <v>493</v>
      </c>
      <c r="C476" t="s">
        <v>9</v>
      </c>
      <c r="D476" t="s">
        <v>10</v>
      </c>
      <c r="E476" s="1">
        <v>45916</v>
      </c>
      <c r="F476" t="s">
        <v>471</v>
      </c>
      <c r="G476">
        <v>86.22</v>
      </c>
      <c r="H476">
        <v>2025</v>
      </c>
    </row>
    <row r="477" spans="1:8" hidden="1" x14ac:dyDescent="0.25">
      <c r="A477">
        <v>161</v>
      </c>
      <c r="B477" t="s">
        <v>494</v>
      </c>
      <c r="C477" t="s">
        <v>9</v>
      </c>
      <c r="D477" t="s">
        <v>10</v>
      </c>
      <c r="E477" s="1">
        <v>45690</v>
      </c>
      <c r="F477" t="s">
        <v>471</v>
      </c>
      <c r="G477">
        <v>72.48</v>
      </c>
      <c r="H477">
        <v>2025</v>
      </c>
    </row>
    <row r="478" spans="1:8" hidden="1" x14ac:dyDescent="0.25">
      <c r="A478">
        <v>169</v>
      </c>
      <c r="B478" t="s">
        <v>495</v>
      </c>
      <c r="C478" t="s">
        <v>9</v>
      </c>
      <c r="D478" t="s">
        <v>10</v>
      </c>
      <c r="E478" s="1">
        <v>45751</v>
      </c>
      <c r="F478" t="s">
        <v>471</v>
      </c>
      <c r="G478">
        <v>99.42</v>
      </c>
      <c r="H478">
        <v>2025</v>
      </c>
    </row>
    <row r="479" spans="1:8" hidden="1" x14ac:dyDescent="0.25">
      <c r="A479">
        <v>173</v>
      </c>
      <c r="B479" t="s">
        <v>496</v>
      </c>
      <c r="C479" t="s">
        <v>85</v>
      </c>
      <c r="D479" t="s">
        <v>86</v>
      </c>
      <c r="E479" s="1">
        <v>45956</v>
      </c>
      <c r="F479" t="s">
        <v>471</v>
      </c>
      <c r="G479">
        <v>72.02</v>
      </c>
      <c r="H479">
        <v>2025</v>
      </c>
    </row>
    <row r="480" spans="1:8" hidden="1" x14ac:dyDescent="0.25">
      <c r="A480">
        <v>186</v>
      </c>
      <c r="B480" t="s">
        <v>497</v>
      </c>
      <c r="C480" t="s">
        <v>9</v>
      </c>
      <c r="D480" t="s">
        <v>10</v>
      </c>
      <c r="E480" s="1">
        <v>45695</v>
      </c>
      <c r="F480" t="s">
        <v>471</v>
      </c>
      <c r="G480">
        <v>82.94</v>
      </c>
      <c r="H480">
        <v>2025</v>
      </c>
    </row>
    <row r="481" spans="1:8" hidden="1" x14ac:dyDescent="0.25">
      <c r="A481">
        <v>188</v>
      </c>
      <c r="B481" t="s">
        <v>498</v>
      </c>
      <c r="C481" t="s">
        <v>9</v>
      </c>
      <c r="D481" t="s">
        <v>10</v>
      </c>
      <c r="E481" s="1">
        <v>45729</v>
      </c>
      <c r="F481" t="s">
        <v>471</v>
      </c>
      <c r="G481">
        <v>81.95</v>
      </c>
      <c r="H481">
        <v>2025</v>
      </c>
    </row>
    <row r="482" spans="1:8" hidden="1" x14ac:dyDescent="0.25">
      <c r="A482">
        <v>190</v>
      </c>
      <c r="B482" t="s">
        <v>499</v>
      </c>
      <c r="C482" t="s">
        <v>153</v>
      </c>
      <c r="D482" t="s">
        <v>154</v>
      </c>
      <c r="E482" s="1">
        <v>45941</v>
      </c>
      <c r="F482" t="s">
        <v>471</v>
      </c>
      <c r="G482">
        <v>77.36</v>
      </c>
      <c r="H482">
        <v>2025</v>
      </c>
    </row>
    <row r="483" spans="1:8" hidden="1" x14ac:dyDescent="0.25">
      <c r="A483">
        <v>192</v>
      </c>
      <c r="B483" t="s">
        <v>500</v>
      </c>
      <c r="C483" t="s">
        <v>9</v>
      </c>
      <c r="D483" t="s">
        <v>10</v>
      </c>
      <c r="E483" s="1">
        <v>45790</v>
      </c>
      <c r="F483" t="s">
        <v>471</v>
      </c>
      <c r="G483">
        <v>94.85</v>
      </c>
      <c r="H483">
        <v>2025</v>
      </c>
    </row>
    <row r="484" spans="1:8" x14ac:dyDescent="0.25">
      <c r="A484">
        <v>206</v>
      </c>
      <c r="B484" t="s">
        <v>501</v>
      </c>
      <c r="C484" t="s">
        <v>156</v>
      </c>
      <c r="D484" t="s">
        <v>157</v>
      </c>
      <c r="E484" s="1">
        <v>45981</v>
      </c>
      <c r="F484" t="s">
        <v>471</v>
      </c>
      <c r="G484">
        <v>95.61</v>
      </c>
      <c r="H484">
        <v>2025</v>
      </c>
    </row>
    <row r="485" spans="1:8" hidden="1" x14ac:dyDescent="0.25">
      <c r="A485">
        <v>208</v>
      </c>
      <c r="B485" t="s">
        <v>502</v>
      </c>
      <c r="C485" t="s">
        <v>85</v>
      </c>
      <c r="D485" t="s">
        <v>86</v>
      </c>
      <c r="E485" s="1">
        <v>45877</v>
      </c>
      <c r="F485" t="s">
        <v>471</v>
      </c>
      <c r="G485">
        <v>80.540000000000006</v>
      </c>
      <c r="H485">
        <v>2025</v>
      </c>
    </row>
    <row r="486" spans="1:8" hidden="1" x14ac:dyDescent="0.25">
      <c r="A486">
        <v>210</v>
      </c>
      <c r="B486" t="s">
        <v>503</v>
      </c>
      <c r="C486" t="s">
        <v>153</v>
      </c>
      <c r="D486" t="s">
        <v>154</v>
      </c>
      <c r="E486" s="1">
        <v>45940</v>
      </c>
      <c r="F486" t="s">
        <v>471</v>
      </c>
      <c r="G486">
        <v>86.15</v>
      </c>
      <c r="H486">
        <v>2025</v>
      </c>
    </row>
    <row r="487" spans="1:8" hidden="1" x14ac:dyDescent="0.25">
      <c r="A487">
        <v>231</v>
      </c>
      <c r="B487" t="s">
        <v>504</v>
      </c>
      <c r="C487" t="s">
        <v>9</v>
      </c>
      <c r="D487" t="s">
        <v>10</v>
      </c>
      <c r="E487" s="1">
        <v>45717</v>
      </c>
      <c r="F487" t="s">
        <v>471</v>
      </c>
      <c r="G487">
        <v>79.92</v>
      </c>
      <c r="H487">
        <v>2025</v>
      </c>
    </row>
    <row r="488" spans="1:8" hidden="1" x14ac:dyDescent="0.25">
      <c r="A488">
        <v>238</v>
      </c>
      <c r="B488" t="s">
        <v>505</v>
      </c>
      <c r="C488" t="s">
        <v>9</v>
      </c>
      <c r="D488" t="s">
        <v>10</v>
      </c>
      <c r="E488" s="1">
        <v>45665</v>
      </c>
      <c r="F488" t="s">
        <v>471</v>
      </c>
      <c r="G488">
        <v>96.08</v>
      </c>
      <c r="H488">
        <v>2025</v>
      </c>
    </row>
    <row r="489" spans="1:8" hidden="1" x14ac:dyDescent="0.25">
      <c r="A489">
        <v>247</v>
      </c>
      <c r="B489" t="s">
        <v>506</v>
      </c>
      <c r="C489" t="s">
        <v>85</v>
      </c>
      <c r="D489" t="s">
        <v>86</v>
      </c>
      <c r="E489" s="1">
        <v>46020</v>
      </c>
      <c r="F489" t="s">
        <v>471</v>
      </c>
      <c r="G489">
        <v>91.81</v>
      </c>
      <c r="H489">
        <v>2025</v>
      </c>
    </row>
    <row r="490" spans="1:8" x14ac:dyDescent="0.25">
      <c r="A490">
        <v>250</v>
      </c>
      <c r="B490" t="s">
        <v>507</v>
      </c>
      <c r="C490" t="s">
        <v>156</v>
      </c>
      <c r="D490" t="s">
        <v>157</v>
      </c>
      <c r="E490" s="1">
        <v>45973</v>
      </c>
      <c r="F490" t="s">
        <v>471</v>
      </c>
      <c r="G490">
        <v>73.59</v>
      </c>
      <c r="H490">
        <v>2025</v>
      </c>
    </row>
    <row r="491" spans="1:8" hidden="1" x14ac:dyDescent="0.25">
      <c r="A491">
        <v>258</v>
      </c>
      <c r="B491" t="s">
        <v>508</v>
      </c>
      <c r="C491" t="s">
        <v>85</v>
      </c>
      <c r="D491" t="s">
        <v>86</v>
      </c>
      <c r="E491" s="1">
        <v>45696</v>
      </c>
      <c r="F491" t="s">
        <v>471</v>
      </c>
      <c r="G491">
        <v>82.04</v>
      </c>
      <c r="H491">
        <v>2025</v>
      </c>
    </row>
    <row r="492" spans="1:8" hidden="1" x14ac:dyDescent="0.25">
      <c r="A492">
        <v>276</v>
      </c>
      <c r="B492" t="s">
        <v>509</v>
      </c>
      <c r="C492" t="s">
        <v>153</v>
      </c>
      <c r="D492" t="s">
        <v>154</v>
      </c>
      <c r="E492" s="1">
        <v>45730</v>
      </c>
      <c r="F492" t="s">
        <v>471</v>
      </c>
      <c r="G492">
        <v>70.31</v>
      </c>
      <c r="H492">
        <v>2025</v>
      </c>
    </row>
    <row r="493" spans="1:8" x14ac:dyDescent="0.25">
      <c r="A493">
        <v>280</v>
      </c>
      <c r="B493" t="s">
        <v>510</v>
      </c>
      <c r="C493" t="s">
        <v>156</v>
      </c>
      <c r="D493" t="s">
        <v>157</v>
      </c>
      <c r="E493" s="1">
        <v>45829</v>
      </c>
      <c r="F493" t="s">
        <v>471</v>
      </c>
      <c r="G493">
        <v>90.29</v>
      </c>
      <c r="H493">
        <v>2025</v>
      </c>
    </row>
    <row r="494" spans="1:8" hidden="1" x14ac:dyDescent="0.25">
      <c r="A494">
        <v>289</v>
      </c>
      <c r="B494" t="s">
        <v>511</v>
      </c>
      <c r="C494" t="s">
        <v>9</v>
      </c>
      <c r="D494" t="s">
        <v>10</v>
      </c>
      <c r="E494" s="1">
        <v>45833</v>
      </c>
      <c r="F494" t="s">
        <v>471</v>
      </c>
      <c r="G494">
        <v>84.96</v>
      </c>
      <c r="H494">
        <v>2025</v>
      </c>
    </row>
    <row r="495" spans="1:8" hidden="1" x14ac:dyDescent="0.25">
      <c r="A495">
        <v>290</v>
      </c>
      <c r="B495" t="s">
        <v>512</v>
      </c>
      <c r="C495" t="s">
        <v>9</v>
      </c>
      <c r="D495" t="s">
        <v>10</v>
      </c>
      <c r="E495" s="1">
        <v>45938</v>
      </c>
      <c r="F495" t="s">
        <v>471</v>
      </c>
      <c r="G495">
        <v>91.54</v>
      </c>
      <c r="H495">
        <v>2025</v>
      </c>
    </row>
    <row r="496" spans="1:8" hidden="1" x14ac:dyDescent="0.25">
      <c r="A496">
        <v>296</v>
      </c>
      <c r="B496" t="s">
        <v>513</v>
      </c>
      <c r="C496" t="s">
        <v>153</v>
      </c>
      <c r="D496" t="s">
        <v>154</v>
      </c>
      <c r="E496" s="1">
        <v>45873</v>
      </c>
      <c r="F496" t="s">
        <v>471</v>
      </c>
      <c r="G496">
        <v>77.73</v>
      </c>
      <c r="H496">
        <v>2025</v>
      </c>
    </row>
    <row r="497" spans="1:8" x14ac:dyDescent="0.25">
      <c r="A497">
        <v>299</v>
      </c>
      <c r="B497" t="s">
        <v>514</v>
      </c>
      <c r="C497" t="s">
        <v>156</v>
      </c>
      <c r="D497" t="s">
        <v>157</v>
      </c>
      <c r="E497" s="1">
        <v>45826</v>
      </c>
      <c r="F497" t="s">
        <v>471</v>
      </c>
      <c r="G497">
        <v>87.51</v>
      </c>
      <c r="H497">
        <v>2025</v>
      </c>
    </row>
    <row r="498" spans="1:8" hidden="1" x14ac:dyDescent="0.25">
      <c r="A498">
        <v>303</v>
      </c>
      <c r="B498" t="s">
        <v>515</v>
      </c>
      <c r="C498" t="s">
        <v>153</v>
      </c>
      <c r="D498" t="s">
        <v>154</v>
      </c>
      <c r="E498" s="1">
        <v>45974</v>
      </c>
      <c r="F498" t="s">
        <v>471</v>
      </c>
      <c r="G498">
        <v>88.3</v>
      </c>
      <c r="H498">
        <v>2025</v>
      </c>
    </row>
    <row r="499" spans="1:8" hidden="1" x14ac:dyDescent="0.25">
      <c r="A499">
        <v>306</v>
      </c>
      <c r="B499" t="s">
        <v>516</v>
      </c>
      <c r="C499" t="s">
        <v>153</v>
      </c>
      <c r="D499" t="s">
        <v>154</v>
      </c>
      <c r="E499" s="1">
        <v>45720</v>
      </c>
      <c r="F499" t="s">
        <v>471</v>
      </c>
      <c r="G499">
        <v>76.900000000000006</v>
      </c>
      <c r="H499">
        <v>2025</v>
      </c>
    </row>
    <row r="500" spans="1:8" x14ac:dyDescent="0.25">
      <c r="A500">
        <v>309</v>
      </c>
      <c r="B500" t="s">
        <v>517</v>
      </c>
      <c r="C500" t="s">
        <v>156</v>
      </c>
      <c r="D500" t="s">
        <v>157</v>
      </c>
      <c r="E500" s="1">
        <v>45742</v>
      </c>
      <c r="F500" t="s">
        <v>471</v>
      </c>
      <c r="G500">
        <v>72.23</v>
      </c>
      <c r="H500">
        <v>2025</v>
      </c>
    </row>
    <row r="501" spans="1:8" hidden="1" x14ac:dyDescent="0.25">
      <c r="A501">
        <v>312</v>
      </c>
      <c r="B501" t="s">
        <v>518</v>
      </c>
      <c r="C501" t="s">
        <v>85</v>
      </c>
      <c r="D501" t="s">
        <v>86</v>
      </c>
      <c r="E501" s="1">
        <v>45668</v>
      </c>
      <c r="F501" t="s">
        <v>471</v>
      </c>
      <c r="G501">
        <v>81.14</v>
      </c>
      <c r="H501">
        <v>2025</v>
      </c>
    </row>
    <row r="502" spans="1:8" hidden="1" x14ac:dyDescent="0.25">
      <c r="A502">
        <v>324</v>
      </c>
      <c r="B502" t="s">
        <v>519</v>
      </c>
      <c r="C502" t="s">
        <v>153</v>
      </c>
      <c r="D502" t="s">
        <v>154</v>
      </c>
      <c r="E502" s="1">
        <v>45944</v>
      </c>
      <c r="F502" t="s">
        <v>471</v>
      </c>
      <c r="G502">
        <v>93.54</v>
      </c>
      <c r="H502">
        <v>2025</v>
      </c>
    </row>
    <row r="503" spans="1:8" x14ac:dyDescent="0.25">
      <c r="A503">
        <v>325</v>
      </c>
      <c r="B503" t="s">
        <v>520</v>
      </c>
      <c r="C503" t="s">
        <v>156</v>
      </c>
      <c r="D503" t="s">
        <v>157</v>
      </c>
      <c r="E503" s="1">
        <v>45786</v>
      </c>
      <c r="F503" t="s">
        <v>471</v>
      </c>
      <c r="G503">
        <v>74.16</v>
      </c>
      <c r="H503">
        <v>2025</v>
      </c>
    </row>
    <row r="504" spans="1:8" hidden="1" x14ac:dyDescent="0.25">
      <c r="A504">
        <v>327</v>
      </c>
      <c r="B504" t="s">
        <v>521</v>
      </c>
      <c r="C504" t="s">
        <v>153</v>
      </c>
      <c r="D504" t="s">
        <v>154</v>
      </c>
      <c r="E504" s="1">
        <v>45979</v>
      </c>
      <c r="F504" t="s">
        <v>471</v>
      </c>
      <c r="G504">
        <v>71.95</v>
      </c>
      <c r="H504">
        <v>2025</v>
      </c>
    </row>
    <row r="505" spans="1:8" hidden="1" x14ac:dyDescent="0.25">
      <c r="A505">
        <v>336</v>
      </c>
      <c r="B505" t="s">
        <v>522</v>
      </c>
      <c r="C505" t="s">
        <v>9</v>
      </c>
      <c r="D505" t="s">
        <v>10</v>
      </c>
      <c r="E505" s="1">
        <v>46012</v>
      </c>
      <c r="F505" t="s">
        <v>471</v>
      </c>
      <c r="G505">
        <v>78.150000000000006</v>
      </c>
      <c r="H505">
        <v>2025</v>
      </c>
    </row>
    <row r="506" spans="1:8" x14ac:dyDescent="0.25">
      <c r="A506">
        <v>340</v>
      </c>
      <c r="B506" t="s">
        <v>523</v>
      </c>
      <c r="C506" t="s">
        <v>156</v>
      </c>
      <c r="D506" t="s">
        <v>157</v>
      </c>
      <c r="E506" s="1">
        <v>46017</v>
      </c>
      <c r="F506" t="s">
        <v>471</v>
      </c>
      <c r="G506">
        <v>99.68</v>
      </c>
      <c r="H506">
        <v>2025</v>
      </c>
    </row>
    <row r="507" spans="1:8" x14ac:dyDescent="0.25">
      <c r="A507">
        <v>341</v>
      </c>
      <c r="B507" t="s">
        <v>524</v>
      </c>
      <c r="C507" t="s">
        <v>156</v>
      </c>
      <c r="D507" t="s">
        <v>157</v>
      </c>
      <c r="E507" s="1">
        <v>45804</v>
      </c>
      <c r="F507" t="s">
        <v>471</v>
      </c>
      <c r="G507">
        <v>77.75</v>
      </c>
      <c r="H507">
        <v>2025</v>
      </c>
    </row>
    <row r="508" spans="1:8" hidden="1" x14ac:dyDescent="0.25">
      <c r="A508">
        <v>350</v>
      </c>
      <c r="B508" t="s">
        <v>525</v>
      </c>
      <c r="C508" t="s">
        <v>9</v>
      </c>
      <c r="D508" t="s">
        <v>10</v>
      </c>
      <c r="E508" s="1">
        <v>45699</v>
      </c>
      <c r="F508" t="s">
        <v>471</v>
      </c>
      <c r="G508">
        <v>85.26</v>
      </c>
      <c r="H508">
        <v>2025</v>
      </c>
    </row>
    <row r="509" spans="1:8" hidden="1" x14ac:dyDescent="0.25">
      <c r="A509">
        <v>352</v>
      </c>
      <c r="B509" t="s">
        <v>526</v>
      </c>
      <c r="C509" t="s">
        <v>85</v>
      </c>
      <c r="D509" t="s">
        <v>86</v>
      </c>
      <c r="E509" s="1">
        <v>45976</v>
      </c>
      <c r="F509" t="s">
        <v>471</v>
      </c>
      <c r="G509">
        <v>80.39</v>
      </c>
      <c r="H509">
        <v>2025</v>
      </c>
    </row>
    <row r="510" spans="1:8" hidden="1" x14ac:dyDescent="0.25">
      <c r="A510">
        <v>364</v>
      </c>
      <c r="B510" t="s">
        <v>527</v>
      </c>
      <c r="C510" t="s">
        <v>85</v>
      </c>
      <c r="D510" t="s">
        <v>86</v>
      </c>
      <c r="E510" s="1">
        <v>45670</v>
      </c>
      <c r="F510" t="s">
        <v>471</v>
      </c>
      <c r="G510">
        <v>91.11</v>
      </c>
      <c r="H510">
        <v>2025</v>
      </c>
    </row>
    <row r="511" spans="1:8" x14ac:dyDescent="0.25">
      <c r="A511">
        <v>367</v>
      </c>
      <c r="B511" t="s">
        <v>528</v>
      </c>
      <c r="C511" t="s">
        <v>156</v>
      </c>
      <c r="D511" t="s">
        <v>157</v>
      </c>
      <c r="E511" s="1">
        <v>45739</v>
      </c>
      <c r="F511" t="s">
        <v>471</v>
      </c>
      <c r="G511">
        <v>90.05</v>
      </c>
      <c r="H511">
        <v>2025</v>
      </c>
    </row>
    <row r="512" spans="1:8" hidden="1" x14ac:dyDescent="0.25">
      <c r="A512">
        <v>375</v>
      </c>
      <c r="B512" t="s">
        <v>529</v>
      </c>
      <c r="C512" t="s">
        <v>153</v>
      </c>
      <c r="D512" t="s">
        <v>154</v>
      </c>
      <c r="E512" s="1">
        <v>45850</v>
      </c>
      <c r="F512" t="s">
        <v>471</v>
      </c>
      <c r="G512">
        <v>98.57</v>
      </c>
      <c r="H512">
        <v>2025</v>
      </c>
    </row>
    <row r="513" spans="1:8" hidden="1" x14ac:dyDescent="0.25">
      <c r="A513">
        <v>382</v>
      </c>
      <c r="B513" t="s">
        <v>530</v>
      </c>
      <c r="C513" t="s">
        <v>9</v>
      </c>
      <c r="D513" t="s">
        <v>10</v>
      </c>
      <c r="E513" s="1">
        <v>45671</v>
      </c>
      <c r="F513" t="s">
        <v>471</v>
      </c>
      <c r="G513">
        <v>80.19</v>
      </c>
      <c r="H513">
        <v>2025</v>
      </c>
    </row>
    <row r="514" spans="1:8" hidden="1" x14ac:dyDescent="0.25">
      <c r="A514">
        <v>396</v>
      </c>
      <c r="B514" t="s">
        <v>531</v>
      </c>
      <c r="C514" t="s">
        <v>85</v>
      </c>
      <c r="D514" t="s">
        <v>86</v>
      </c>
      <c r="E514" s="1">
        <v>45982</v>
      </c>
      <c r="F514" t="s">
        <v>471</v>
      </c>
      <c r="G514">
        <v>95.43</v>
      </c>
      <c r="H514">
        <v>2025</v>
      </c>
    </row>
    <row r="515" spans="1:8" x14ac:dyDescent="0.25">
      <c r="A515">
        <v>397</v>
      </c>
      <c r="B515" t="s">
        <v>532</v>
      </c>
      <c r="C515" t="s">
        <v>156</v>
      </c>
      <c r="D515" t="s">
        <v>157</v>
      </c>
      <c r="E515" s="1">
        <v>45887</v>
      </c>
      <c r="F515" t="s">
        <v>471</v>
      </c>
      <c r="G515">
        <v>87.6</v>
      </c>
      <c r="H515">
        <v>2025</v>
      </c>
    </row>
    <row r="516" spans="1:8" x14ac:dyDescent="0.25">
      <c r="A516">
        <v>399</v>
      </c>
      <c r="B516" t="s">
        <v>533</v>
      </c>
      <c r="C516" t="s">
        <v>156</v>
      </c>
      <c r="D516" t="s">
        <v>157</v>
      </c>
      <c r="E516" s="1">
        <v>45696</v>
      </c>
      <c r="F516" t="s">
        <v>471</v>
      </c>
      <c r="G516">
        <v>77.510000000000005</v>
      </c>
      <c r="H516">
        <v>2025</v>
      </c>
    </row>
    <row r="517" spans="1:8" hidden="1" x14ac:dyDescent="0.25">
      <c r="A517">
        <v>401</v>
      </c>
      <c r="B517" t="s">
        <v>534</v>
      </c>
      <c r="C517" t="s">
        <v>153</v>
      </c>
      <c r="D517" t="s">
        <v>154</v>
      </c>
      <c r="E517" s="1">
        <v>45814</v>
      </c>
      <c r="F517" t="s">
        <v>471</v>
      </c>
      <c r="G517">
        <v>87.29</v>
      </c>
      <c r="H517">
        <v>2025</v>
      </c>
    </row>
    <row r="518" spans="1:8" hidden="1" x14ac:dyDescent="0.25">
      <c r="A518">
        <v>407</v>
      </c>
      <c r="B518" t="s">
        <v>535</v>
      </c>
      <c r="C518" t="s">
        <v>85</v>
      </c>
      <c r="D518" t="s">
        <v>86</v>
      </c>
      <c r="E518" s="1">
        <v>45742</v>
      </c>
      <c r="F518" t="s">
        <v>471</v>
      </c>
      <c r="G518">
        <v>71.900000000000006</v>
      </c>
      <c r="H518">
        <v>2025</v>
      </c>
    </row>
    <row r="519" spans="1:8" hidden="1" x14ac:dyDescent="0.25">
      <c r="A519">
        <v>411</v>
      </c>
      <c r="B519" t="s">
        <v>536</v>
      </c>
      <c r="C519" t="s">
        <v>153</v>
      </c>
      <c r="D519" t="s">
        <v>154</v>
      </c>
      <c r="E519" s="1">
        <v>45875</v>
      </c>
      <c r="F519" t="s">
        <v>471</v>
      </c>
      <c r="G519">
        <v>83.38</v>
      </c>
      <c r="H519">
        <v>2025</v>
      </c>
    </row>
    <row r="520" spans="1:8" hidden="1" x14ac:dyDescent="0.25">
      <c r="A520">
        <v>412</v>
      </c>
      <c r="B520" t="s">
        <v>537</v>
      </c>
      <c r="C520" t="s">
        <v>153</v>
      </c>
      <c r="D520" t="s">
        <v>154</v>
      </c>
      <c r="E520" s="1">
        <v>46013</v>
      </c>
      <c r="F520" t="s">
        <v>471</v>
      </c>
      <c r="G520">
        <v>81.27</v>
      </c>
      <c r="H520">
        <v>2025</v>
      </c>
    </row>
    <row r="521" spans="1:8" x14ac:dyDescent="0.25">
      <c r="A521">
        <v>415</v>
      </c>
      <c r="B521" t="s">
        <v>538</v>
      </c>
      <c r="C521" t="s">
        <v>156</v>
      </c>
      <c r="D521" t="s">
        <v>157</v>
      </c>
      <c r="E521" s="1">
        <v>45986</v>
      </c>
      <c r="F521" t="s">
        <v>471</v>
      </c>
      <c r="G521">
        <v>97.69</v>
      </c>
      <c r="H521">
        <v>2025</v>
      </c>
    </row>
    <row r="522" spans="1:8" hidden="1" x14ac:dyDescent="0.25">
      <c r="A522">
        <v>418</v>
      </c>
      <c r="B522" t="s">
        <v>539</v>
      </c>
      <c r="C522" t="s">
        <v>153</v>
      </c>
      <c r="D522" t="s">
        <v>154</v>
      </c>
      <c r="E522" s="1">
        <v>45935</v>
      </c>
      <c r="F522" t="s">
        <v>471</v>
      </c>
      <c r="G522">
        <v>91.64</v>
      </c>
      <c r="H522">
        <v>2025</v>
      </c>
    </row>
    <row r="523" spans="1:8" x14ac:dyDescent="0.25">
      <c r="A523">
        <v>424</v>
      </c>
      <c r="B523" t="s">
        <v>540</v>
      </c>
      <c r="C523" t="s">
        <v>156</v>
      </c>
      <c r="D523" t="s">
        <v>157</v>
      </c>
      <c r="E523" s="1">
        <v>45697</v>
      </c>
      <c r="F523" t="s">
        <v>471</v>
      </c>
      <c r="G523">
        <v>75.73</v>
      </c>
      <c r="H523">
        <v>2025</v>
      </c>
    </row>
    <row r="524" spans="1:8" hidden="1" x14ac:dyDescent="0.25">
      <c r="A524">
        <v>430</v>
      </c>
      <c r="B524" t="s">
        <v>541</v>
      </c>
      <c r="C524" t="s">
        <v>85</v>
      </c>
      <c r="D524" t="s">
        <v>86</v>
      </c>
      <c r="E524" s="1">
        <v>45947</v>
      </c>
      <c r="F524" t="s">
        <v>471</v>
      </c>
      <c r="G524">
        <v>92.4</v>
      </c>
      <c r="H524">
        <v>2025</v>
      </c>
    </row>
    <row r="525" spans="1:8" x14ac:dyDescent="0.25">
      <c r="A525">
        <v>433</v>
      </c>
      <c r="B525" t="s">
        <v>542</v>
      </c>
      <c r="C525" t="s">
        <v>156</v>
      </c>
      <c r="D525" t="s">
        <v>157</v>
      </c>
      <c r="E525" s="1">
        <v>45911</v>
      </c>
      <c r="F525" t="s">
        <v>471</v>
      </c>
      <c r="G525">
        <v>95.85</v>
      </c>
      <c r="H525">
        <v>2025</v>
      </c>
    </row>
    <row r="526" spans="1:8" hidden="1" x14ac:dyDescent="0.25">
      <c r="A526">
        <v>440</v>
      </c>
      <c r="B526" t="s">
        <v>543</v>
      </c>
      <c r="C526" t="s">
        <v>9</v>
      </c>
      <c r="D526" t="s">
        <v>10</v>
      </c>
      <c r="E526" s="1">
        <v>45828</v>
      </c>
      <c r="F526" t="s">
        <v>471</v>
      </c>
      <c r="G526">
        <v>71.38</v>
      </c>
      <c r="H526">
        <v>2025</v>
      </c>
    </row>
    <row r="527" spans="1:8" hidden="1" x14ac:dyDescent="0.25">
      <c r="A527">
        <v>441</v>
      </c>
      <c r="B527" t="s">
        <v>544</v>
      </c>
      <c r="C527" t="s">
        <v>153</v>
      </c>
      <c r="D527" t="s">
        <v>154</v>
      </c>
      <c r="E527" s="1">
        <v>45926</v>
      </c>
      <c r="F527" t="s">
        <v>471</v>
      </c>
      <c r="G527">
        <v>98.59</v>
      </c>
      <c r="H527">
        <v>2025</v>
      </c>
    </row>
    <row r="528" spans="1:8" x14ac:dyDescent="0.25">
      <c r="A528">
        <v>454</v>
      </c>
      <c r="B528" t="s">
        <v>545</v>
      </c>
      <c r="C528" t="s">
        <v>156</v>
      </c>
      <c r="D528" t="s">
        <v>157</v>
      </c>
      <c r="E528" s="1">
        <v>45826</v>
      </c>
      <c r="F528" t="s">
        <v>471</v>
      </c>
      <c r="G528">
        <v>78.040000000000006</v>
      </c>
      <c r="H528">
        <v>2025</v>
      </c>
    </row>
    <row r="529" spans="1:8" x14ac:dyDescent="0.25">
      <c r="A529">
        <v>463</v>
      </c>
      <c r="B529" t="s">
        <v>546</v>
      </c>
      <c r="C529" t="s">
        <v>156</v>
      </c>
      <c r="D529" t="s">
        <v>157</v>
      </c>
      <c r="E529" s="1">
        <v>45797</v>
      </c>
      <c r="F529" t="s">
        <v>471</v>
      </c>
      <c r="G529">
        <v>71.75</v>
      </c>
      <c r="H529">
        <v>2025</v>
      </c>
    </row>
    <row r="530" spans="1:8" hidden="1" x14ac:dyDescent="0.25">
      <c r="A530">
        <v>471</v>
      </c>
      <c r="B530" t="s">
        <v>547</v>
      </c>
      <c r="C530" t="s">
        <v>153</v>
      </c>
      <c r="D530" t="s">
        <v>154</v>
      </c>
      <c r="E530" s="1">
        <v>45953</v>
      </c>
      <c r="F530" t="s">
        <v>471</v>
      </c>
      <c r="G530">
        <v>74.569999999999993</v>
      </c>
      <c r="H530">
        <v>2025</v>
      </c>
    </row>
    <row r="531" spans="1:8" x14ac:dyDescent="0.25">
      <c r="A531">
        <v>485</v>
      </c>
      <c r="B531" t="s">
        <v>548</v>
      </c>
      <c r="C531" t="s">
        <v>156</v>
      </c>
      <c r="D531" t="s">
        <v>157</v>
      </c>
      <c r="E531" s="1">
        <v>45703</v>
      </c>
      <c r="F531" t="s">
        <v>471</v>
      </c>
      <c r="G531">
        <v>71.52</v>
      </c>
      <c r="H531">
        <v>2025</v>
      </c>
    </row>
    <row r="532" spans="1:8" hidden="1" x14ac:dyDescent="0.25">
      <c r="A532">
        <v>492</v>
      </c>
      <c r="B532" t="s">
        <v>549</v>
      </c>
      <c r="C532" t="s">
        <v>85</v>
      </c>
      <c r="D532" t="s">
        <v>86</v>
      </c>
      <c r="E532" s="1">
        <v>45658</v>
      </c>
      <c r="F532" t="s">
        <v>471</v>
      </c>
      <c r="G532">
        <v>85.48</v>
      </c>
      <c r="H532">
        <v>2025</v>
      </c>
    </row>
    <row r="533" spans="1:8" x14ac:dyDescent="0.25">
      <c r="A533">
        <v>495</v>
      </c>
      <c r="B533" t="s">
        <v>550</v>
      </c>
      <c r="C533" t="s">
        <v>156</v>
      </c>
      <c r="D533" t="s">
        <v>157</v>
      </c>
      <c r="E533" s="1">
        <v>45975</v>
      </c>
      <c r="F533" t="s">
        <v>471</v>
      </c>
      <c r="G533">
        <v>95.58</v>
      </c>
      <c r="H533">
        <v>2025</v>
      </c>
    </row>
    <row r="534" spans="1:8" x14ac:dyDescent="0.25">
      <c r="A534">
        <v>499</v>
      </c>
      <c r="B534" t="s">
        <v>551</v>
      </c>
      <c r="C534" t="s">
        <v>156</v>
      </c>
      <c r="D534" t="s">
        <v>157</v>
      </c>
      <c r="E534" s="1">
        <v>45734</v>
      </c>
      <c r="F534" t="s">
        <v>471</v>
      </c>
      <c r="G534">
        <v>83.9</v>
      </c>
      <c r="H534">
        <v>2025</v>
      </c>
    </row>
    <row r="535" spans="1:8" hidden="1" x14ac:dyDescent="0.25">
      <c r="A535">
        <v>504</v>
      </c>
      <c r="B535" t="s">
        <v>552</v>
      </c>
      <c r="C535" t="s">
        <v>85</v>
      </c>
      <c r="D535" t="s">
        <v>86</v>
      </c>
      <c r="E535" s="1">
        <v>45803</v>
      </c>
      <c r="F535" t="s">
        <v>471</v>
      </c>
      <c r="G535">
        <v>98.68</v>
      </c>
      <c r="H535">
        <v>2025</v>
      </c>
    </row>
    <row r="536" spans="1:8" hidden="1" x14ac:dyDescent="0.25">
      <c r="A536">
        <v>517</v>
      </c>
      <c r="B536" t="s">
        <v>553</v>
      </c>
      <c r="C536" t="s">
        <v>9</v>
      </c>
      <c r="D536" t="s">
        <v>10</v>
      </c>
      <c r="E536" s="1">
        <v>45867</v>
      </c>
      <c r="F536" t="s">
        <v>471</v>
      </c>
      <c r="G536">
        <v>96.45</v>
      </c>
      <c r="H536">
        <v>2025</v>
      </c>
    </row>
    <row r="537" spans="1:8" hidden="1" x14ac:dyDescent="0.25">
      <c r="A537">
        <v>519</v>
      </c>
      <c r="B537" t="s">
        <v>554</v>
      </c>
      <c r="C537" t="s">
        <v>9</v>
      </c>
      <c r="D537" t="s">
        <v>10</v>
      </c>
      <c r="E537" s="1">
        <v>45852</v>
      </c>
      <c r="F537" t="s">
        <v>471</v>
      </c>
      <c r="G537">
        <v>79.38</v>
      </c>
      <c r="H537">
        <v>2025</v>
      </c>
    </row>
    <row r="538" spans="1:8" hidden="1" x14ac:dyDescent="0.25">
      <c r="A538">
        <v>527</v>
      </c>
      <c r="B538" t="s">
        <v>555</v>
      </c>
      <c r="C538" t="s">
        <v>9</v>
      </c>
      <c r="D538" t="s">
        <v>10</v>
      </c>
      <c r="E538" s="1">
        <v>45725</v>
      </c>
      <c r="F538" t="s">
        <v>471</v>
      </c>
      <c r="G538">
        <v>71.05</v>
      </c>
      <c r="H538">
        <v>2025</v>
      </c>
    </row>
    <row r="539" spans="1:8" hidden="1" x14ac:dyDescent="0.25">
      <c r="A539">
        <v>529</v>
      </c>
      <c r="B539" t="s">
        <v>556</v>
      </c>
      <c r="C539" t="s">
        <v>9</v>
      </c>
      <c r="D539" t="s">
        <v>10</v>
      </c>
      <c r="E539" s="1">
        <v>45837</v>
      </c>
      <c r="F539" t="s">
        <v>471</v>
      </c>
      <c r="G539">
        <v>90.75</v>
      </c>
      <c r="H539">
        <v>2025</v>
      </c>
    </row>
    <row r="540" spans="1:8" hidden="1" x14ac:dyDescent="0.25">
      <c r="A540">
        <v>532</v>
      </c>
      <c r="B540" t="s">
        <v>557</v>
      </c>
      <c r="C540" t="s">
        <v>85</v>
      </c>
      <c r="D540" t="s">
        <v>86</v>
      </c>
      <c r="E540" s="1">
        <v>45872</v>
      </c>
      <c r="F540" t="s">
        <v>471</v>
      </c>
      <c r="G540">
        <v>97.59</v>
      </c>
      <c r="H540">
        <v>2025</v>
      </c>
    </row>
    <row r="541" spans="1:8" hidden="1" x14ac:dyDescent="0.25">
      <c r="A541">
        <v>533</v>
      </c>
      <c r="B541" t="s">
        <v>558</v>
      </c>
      <c r="C541" t="s">
        <v>153</v>
      </c>
      <c r="D541" t="s">
        <v>154</v>
      </c>
      <c r="E541" s="1">
        <v>45906</v>
      </c>
      <c r="F541" t="s">
        <v>471</v>
      </c>
      <c r="G541">
        <v>79.209999999999994</v>
      </c>
      <c r="H541">
        <v>2025</v>
      </c>
    </row>
    <row r="542" spans="1:8" hidden="1" x14ac:dyDescent="0.25">
      <c r="A542">
        <v>555</v>
      </c>
      <c r="B542" t="s">
        <v>559</v>
      </c>
      <c r="C542" t="s">
        <v>153</v>
      </c>
      <c r="D542" t="s">
        <v>154</v>
      </c>
      <c r="E542" s="1">
        <v>45938</v>
      </c>
      <c r="F542" t="s">
        <v>471</v>
      </c>
      <c r="G542">
        <v>89.62</v>
      </c>
      <c r="H542">
        <v>2025</v>
      </c>
    </row>
    <row r="543" spans="1:8" hidden="1" x14ac:dyDescent="0.25">
      <c r="A543">
        <v>557</v>
      </c>
      <c r="B543" t="s">
        <v>560</v>
      </c>
      <c r="C543" t="s">
        <v>153</v>
      </c>
      <c r="D543" t="s">
        <v>154</v>
      </c>
      <c r="E543" s="1">
        <v>45705</v>
      </c>
      <c r="F543" t="s">
        <v>471</v>
      </c>
      <c r="G543">
        <v>89.84</v>
      </c>
      <c r="H543">
        <v>2025</v>
      </c>
    </row>
    <row r="544" spans="1:8" hidden="1" x14ac:dyDescent="0.25">
      <c r="A544">
        <v>562</v>
      </c>
      <c r="B544" t="s">
        <v>561</v>
      </c>
      <c r="C544" t="s">
        <v>153</v>
      </c>
      <c r="D544" t="s">
        <v>154</v>
      </c>
      <c r="E544" s="1">
        <v>45894</v>
      </c>
      <c r="F544" t="s">
        <v>471</v>
      </c>
      <c r="G544">
        <v>83.72</v>
      </c>
      <c r="H544">
        <v>2025</v>
      </c>
    </row>
    <row r="545" spans="1:8" hidden="1" x14ac:dyDescent="0.25">
      <c r="A545">
        <v>568</v>
      </c>
      <c r="B545" t="s">
        <v>562</v>
      </c>
      <c r="C545" t="s">
        <v>9</v>
      </c>
      <c r="D545" t="s">
        <v>10</v>
      </c>
      <c r="E545" s="1">
        <v>45907</v>
      </c>
      <c r="F545" t="s">
        <v>471</v>
      </c>
      <c r="G545">
        <v>87.42</v>
      </c>
      <c r="H545">
        <v>2025</v>
      </c>
    </row>
    <row r="546" spans="1:8" x14ac:dyDescent="0.25">
      <c r="A546">
        <v>575</v>
      </c>
      <c r="B546" t="s">
        <v>563</v>
      </c>
      <c r="C546" t="s">
        <v>156</v>
      </c>
      <c r="D546" t="s">
        <v>157</v>
      </c>
      <c r="E546" s="1">
        <v>45868</v>
      </c>
      <c r="F546" t="s">
        <v>471</v>
      </c>
      <c r="G546">
        <v>87.48</v>
      </c>
      <c r="H546">
        <v>2025</v>
      </c>
    </row>
    <row r="547" spans="1:8" x14ac:dyDescent="0.25">
      <c r="A547">
        <v>577</v>
      </c>
      <c r="B547" t="s">
        <v>564</v>
      </c>
      <c r="C547" t="s">
        <v>156</v>
      </c>
      <c r="D547" t="s">
        <v>157</v>
      </c>
      <c r="E547" s="1">
        <v>45698</v>
      </c>
      <c r="F547" t="s">
        <v>471</v>
      </c>
      <c r="G547">
        <v>71.39</v>
      </c>
      <c r="H547">
        <v>2025</v>
      </c>
    </row>
    <row r="548" spans="1:8" hidden="1" x14ac:dyDescent="0.25">
      <c r="A548">
        <v>584</v>
      </c>
      <c r="B548" t="s">
        <v>565</v>
      </c>
      <c r="C548" t="s">
        <v>85</v>
      </c>
      <c r="D548" t="s">
        <v>86</v>
      </c>
      <c r="E548" s="1">
        <v>45957</v>
      </c>
      <c r="F548" t="s">
        <v>471</v>
      </c>
      <c r="G548">
        <v>82.06</v>
      </c>
      <c r="H548">
        <v>2025</v>
      </c>
    </row>
    <row r="549" spans="1:8" hidden="1" x14ac:dyDescent="0.25">
      <c r="A549">
        <v>587</v>
      </c>
      <c r="B549" t="s">
        <v>566</v>
      </c>
      <c r="C549" t="s">
        <v>153</v>
      </c>
      <c r="D549" t="s">
        <v>154</v>
      </c>
      <c r="E549" s="1">
        <v>45861</v>
      </c>
      <c r="F549" t="s">
        <v>471</v>
      </c>
      <c r="G549">
        <v>73.540000000000006</v>
      </c>
      <c r="H549">
        <v>2025</v>
      </c>
    </row>
    <row r="550" spans="1:8" hidden="1" x14ac:dyDescent="0.25">
      <c r="A550">
        <v>598</v>
      </c>
      <c r="B550" t="s">
        <v>567</v>
      </c>
      <c r="C550" t="s">
        <v>9</v>
      </c>
      <c r="D550" t="s">
        <v>10</v>
      </c>
      <c r="E550" s="1">
        <v>45844</v>
      </c>
      <c r="F550" t="s">
        <v>471</v>
      </c>
      <c r="G550">
        <v>74.739999999999995</v>
      </c>
      <c r="H550">
        <v>2025</v>
      </c>
    </row>
    <row r="551" spans="1:8" x14ac:dyDescent="0.25">
      <c r="A551">
        <v>600</v>
      </c>
      <c r="B551" t="s">
        <v>568</v>
      </c>
      <c r="C551" t="s">
        <v>156</v>
      </c>
      <c r="D551" t="s">
        <v>157</v>
      </c>
      <c r="E551" s="1">
        <v>45932</v>
      </c>
      <c r="F551" t="s">
        <v>471</v>
      </c>
      <c r="G551">
        <v>91.62</v>
      </c>
      <c r="H551">
        <v>2025</v>
      </c>
    </row>
    <row r="552" spans="1:8" x14ac:dyDescent="0.25">
      <c r="A552">
        <v>602</v>
      </c>
      <c r="B552" t="s">
        <v>569</v>
      </c>
      <c r="C552" t="s">
        <v>156</v>
      </c>
      <c r="D552" t="s">
        <v>157</v>
      </c>
      <c r="E552" s="1">
        <v>45878</v>
      </c>
      <c r="F552" t="s">
        <v>471</v>
      </c>
      <c r="G552">
        <v>72</v>
      </c>
      <c r="H552">
        <v>2025</v>
      </c>
    </row>
    <row r="553" spans="1:8" x14ac:dyDescent="0.25">
      <c r="A553">
        <v>612</v>
      </c>
      <c r="B553" t="s">
        <v>570</v>
      </c>
      <c r="C553" t="s">
        <v>156</v>
      </c>
      <c r="D553" t="s">
        <v>157</v>
      </c>
      <c r="E553" s="1">
        <v>45956</v>
      </c>
      <c r="F553" t="s">
        <v>471</v>
      </c>
      <c r="G553">
        <v>94.42</v>
      </c>
      <c r="H553">
        <v>2025</v>
      </c>
    </row>
    <row r="554" spans="1:8" x14ac:dyDescent="0.25">
      <c r="A554">
        <v>615</v>
      </c>
      <c r="B554" t="s">
        <v>571</v>
      </c>
      <c r="C554" t="s">
        <v>156</v>
      </c>
      <c r="D554" t="s">
        <v>157</v>
      </c>
      <c r="E554" s="1">
        <v>45732</v>
      </c>
      <c r="F554" t="s">
        <v>471</v>
      </c>
      <c r="G554">
        <v>95.06</v>
      </c>
      <c r="H554">
        <v>2025</v>
      </c>
    </row>
    <row r="555" spans="1:8" hidden="1" x14ac:dyDescent="0.25">
      <c r="A555">
        <v>640</v>
      </c>
      <c r="B555" t="s">
        <v>572</v>
      </c>
      <c r="C555" t="s">
        <v>85</v>
      </c>
      <c r="D555" t="s">
        <v>86</v>
      </c>
      <c r="E555" s="1">
        <v>45893</v>
      </c>
      <c r="F555" t="s">
        <v>471</v>
      </c>
      <c r="G555">
        <v>76.27</v>
      </c>
      <c r="H555">
        <v>2025</v>
      </c>
    </row>
    <row r="556" spans="1:8" hidden="1" x14ac:dyDescent="0.25">
      <c r="A556">
        <v>647</v>
      </c>
      <c r="B556" t="s">
        <v>573</v>
      </c>
      <c r="C556" t="s">
        <v>153</v>
      </c>
      <c r="D556" t="s">
        <v>154</v>
      </c>
      <c r="E556" s="1">
        <v>45981</v>
      </c>
      <c r="F556" t="s">
        <v>471</v>
      </c>
      <c r="G556">
        <v>84.33</v>
      </c>
      <c r="H556">
        <v>2025</v>
      </c>
    </row>
    <row r="557" spans="1:8" x14ac:dyDescent="0.25">
      <c r="A557">
        <v>659</v>
      </c>
      <c r="B557" t="s">
        <v>574</v>
      </c>
      <c r="C557" t="s">
        <v>156</v>
      </c>
      <c r="D557" t="s">
        <v>157</v>
      </c>
      <c r="E557" s="1">
        <v>45805</v>
      </c>
      <c r="F557" t="s">
        <v>471</v>
      </c>
      <c r="G557">
        <v>98.53</v>
      </c>
      <c r="H557">
        <v>2025</v>
      </c>
    </row>
    <row r="558" spans="1:8" hidden="1" x14ac:dyDescent="0.25">
      <c r="A558">
        <v>665</v>
      </c>
      <c r="B558" t="s">
        <v>575</v>
      </c>
      <c r="C558" t="s">
        <v>153</v>
      </c>
      <c r="D558" t="s">
        <v>154</v>
      </c>
      <c r="E558" s="1">
        <v>46005</v>
      </c>
      <c r="F558" t="s">
        <v>471</v>
      </c>
      <c r="G558">
        <v>70.37</v>
      </c>
      <c r="H558">
        <v>2025</v>
      </c>
    </row>
    <row r="559" spans="1:8" hidden="1" x14ac:dyDescent="0.25">
      <c r="A559">
        <v>673</v>
      </c>
      <c r="B559" t="s">
        <v>576</v>
      </c>
      <c r="C559" t="s">
        <v>85</v>
      </c>
      <c r="D559" t="s">
        <v>86</v>
      </c>
      <c r="E559" s="1">
        <v>45876</v>
      </c>
      <c r="F559" t="s">
        <v>471</v>
      </c>
      <c r="G559">
        <v>80.66</v>
      </c>
      <c r="H559">
        <v>2025</v>
      </c>
    </row>
    <row r="560" spans="1:8" hidden="1" x14ac:dyDescent="0.25">
      <c r="A560">
        <v>677</v>
      </c>
      <c r="B560" t="s">
        <v>577</v>
      </c>
      <c r="C560" t="s">
        <v>85</v>
      </c>
      <c r="D560" t="s">
        <v>86</v>
      </c>
      <c r="E560" s="1">
        <v>45993</v>
      </c>
      <c r="F560" t="s">
        <v>471</v>
      </c>
      <c r="G560">
        <v>74.099999999999994</v>
      </c>
      <c r="H560">
        <v>2025</v>
      </c>
    </row>
    <row r="561" spans="1:8" hidden="1" x14ac:dyDescent="0.25">
      <c r="A561">
        <v>683</v>
      </c>
      <c r="B561" t="s">
        <v>578</v>
      </c>
      <c r="C561" t="s">
        <v>9</v>
      </c>
      <c r="D561" t="s">
        <v>10</v>
      </c>
      <c r="E561" s="1">
        <v>46011</v>
      </c>
      <c r="F561" t="s">
        <v>471</v>
      </c>
      <c r="G561">
        <v>75.94</v>
      </c>
      <c r="H561">
        <v>2025</v>
      </c>
    </row>
    <row r="562" spans="1:8" x14ac:dyDescent="0.25">
      <c r="A562">
        <v>684</v>
      </c>
      <c r="B562" t="s">
        <v>579</v>
      </c>
      <c r="C562" t="s">
        <v>156</v>
      </c>
      <c r="D562" t="s">
        <v>157</v>
      </c>
      <c r="E562" s="1">
        <v>45953</v>
      </c>
      <c r="F562" t="s">
        <v>471</v>
      </c>
      <c r="G562">
        <v>94.29</v>
      </c>
      <c r="H562">
        <v>2025</v>
      </c>
    </row>
    <row r="563" spans="1:8" x14ac:dyDescent="0.25">
      <c r="A563">
        <v>690</v>
      </c>
      <c r="B563" t="s">
        <v>580</v>
      </c>
      <c r="C563" t="s">
        <v>156</v>
      </c>
      <c r="D563" t="s">
        <v>157</v>
      </c>
      <c r="E563" s="1">
        <v>45794</v>
      </c>
      <c r="F563" t="s">
        <v>471</v>
      </c>
      <c r="G563">
        <v>79.680000000000007</v>
      </c>
      <c r="H563">
        <v>2025</v>
      </c>
    </row>
    <row r="564" spans="1:8" hidden="1" x14ac:dyDescent="0.25">
      <c r="A564">
        <v>693</v>
      </c>
      <c r="B564" t="s">
        <v>581</v>
      </c>
      <c r="C564" t="s">
        <v>9</v>
      </c>
      <c r="D564" t="s">
        <v>10</v>
      </c>
      <c r="E564" s="1">
        <v>45818</v>
      </c>
      <c r="F564" t="s">
        <v>471</v>
      </c>
      <c r="G564">
        <v>88.87</v>
      </c>
      <c r="H564">
        <v>2025</v>
      </c>
    </row>
    <row r="565" spans="1:8" hidden="1" x14ac:dyDescent="0.25">
      <c r="A565">
        <v>702</v>
      </c>
      <c r="B565" t="s">
        <v>582</v>
      </c>
      <c r="C565" t="s">
        <v>9</v>
      </c>
      <c r="D565" t="s">
        <v>10</v>
      </c>
      <c r="E565" s="1">
        <v>45839</v>
      </c>
      <c r="F565" t="s">
        <v>471</v>
      </c>
      <c r="G565">
        <v>89.44</v>
      </c>
      <c r="H565">
        <v>2025</v>
      </c>
    </row>
    <row r="566" spans="1:8" hidden="1" x14ac:dyDescent="0.25">
      <c r="A566">
        <v>706</v>
      </c>
      <c r="B566" t="s">
        <v>583</v>
      </c>
      <c r="C566" t="s">
        <v>85</v>
      </c>
      <c r="D566" t="s">
        <v>86</v>
      </c>
      <c r="E566" s="1">
        <v>45968</v>
      </c>
      <c r="F566" t="s">
        <v>471</v>
      </c>
      <c r="G566">
        <v>86.19</v>
      </c>
      <c r="H566">
        <v>2025</v>
      </c>
    </row>
    <row r="567" spans="1:8" hidden="1" x14ac:dyDescent="0.25">
      <c r="A567">
        <v>708</v>
      </c>
      <c r="B567" t="s">
        <v>584</v>
      </c>
      <c r="C567" t="s">
        <v>85</v>
      </c>
      <c r="D567" t="s">
        <v>86</v>
      </c>
      <c r="E567" s="1">
        <v>45972</v>
      </c>
      <c r="F567" t="s">
        <v>471</v>
      </c>
      <c r="G567">
        <v>77.959999999999994</v>
      </c>
      <c r="H567">
        <v>2025</v>
      </c>
    </row>
    <row r="568" spans="1:8" hidden="1" x14ac:dyDescent="0.25">
      <c r="A568">
        <v>711</v>
      </c>
      <c r="B568" t="s">
        <v>585</v>
      </c>
      <c r="C568" t="s">
        <v>85</v>
      </c>
      <c r="D568" t="s">
        <v>86</v>
      </c>
      <c r="E568" s="1">
        <v>45821</v>
      </c>
      <c r="F568" t="s">
        <v>471</v>
      </c>
      <c r="G568">
        <v>82.67</v>
      </c>
      <c r="H568">
        <v>2025</v>
      </c>
    </row>
    <row r="569" spans="1:8" x14ac:dyDescent="0.25">
      <c r="A569">
        <v>718</v>
      </c>
      <c r="B569" t="s">
        <v>586</v>
      </c>
      <c r="C569" t="s">
        <v>156</v>
      </c>
      <c r="D569" t="s">
        <v>157</v>
      </c>
      <c r="E569" s="1">
        <v>45746</v>
      </c>
      <c r="F569" t="s">
        <v>471</v>
      </c>
      <c r="G569">
        <v>99.77</v>
      </c>
      <c r="H569">
        <v>2025</v>
      </c>
    </row>
    <row r="570" spans="1:8" hidden="1" x14ac:dyDescent="0.25">
      <c r="A570">
        <v>719</v>
      </c>
      <c r="B570" t="s">
        <v>587</v>
      </c>
      <c r="C570" t="s">
        <v>85</v>
      </c>
      <c r="D570" t="s">
        <v>86</v>
      </c>
      <c r="E570" s="1">
        <v>45882</v>
      </c>
      <c r="F570" t="s">
        <v>471</v>
      </c>
      <c r="G570">
        <v>99.4</v>
      </c>
      <c r="H570">
        <v>2025</v>
      </c>
    </row>
    <row r="571" spans="1:8" hidden="1" x14ac:dyDescent="0.25">
      <c r="A571">
        <v>729</v>
      </c>
      <c r="B571" t="s">
        <v>588</v>
      </c>
      <c r="C571" t="s">
        <v>153</v>
      </c>
      <c r="D571" t="s">
        <v>154</v>
      </c>
      <c r="E571" s="1">
        <v>45703</v>
      </c>
      <c r="F571" t="s">
        <v>471</v>
      </c>
      <c r="G571">
        <v>73.709999999999994</v>
      </c>
      <c r="H571">
        <v>2025</v>
      </c>
    </row>
    <row r="572" spans="1:8" hidden="1" x14ac:dyDescent="0.25">
      <c r="A572">
        <v>738</v>
      </c>
      <c r="B572" t="s">
        <v>589</v>
      </c>
      <c r="C572" t="s">
        <v>85</v>
      </c>
      <c r="D572" t="s">
        <v>86</v>
      </c>
      <c r="E572" s="1">
        <v>45803</v>
      </c>
      <c r="F572" t="s">
        <v>471</v>
      </c>
      <c r="G572">
        <v>91</v>
      </c>
      <c r="H572">
        <v>2025</v>
      </c>
    </row>
    <row r="573" spans="1:8" hidden="1" x14ac:dyDescent="0.25">
      <c r="A573">
        <v>744</v>
      </c>
      <c r="B573" t="s">
        <v>590</v>
      </c>
      <c r="C573" t="s">
        <v>9</v>
      </c>
      <c r="D573" t="s">
        <v>10</v>
      </c>
      <c r="E573" s="1">
        <v>45757</v>
      </c>
      <c r="F573" t="s">
        <v>471</v>
      </c>
      <c r="G573">
        <v>88.06</v>
      </c>
      <c r="H573">
        <v>2025</v>
      </c>
    </row>
    <row r="574" spans="1:8" x14ac:dyDescent="0.25">
      <c r="A574">
        <v>745</v>
      </c>
      <c r="B574" t="s">
        <v>591</v>
      </c>
      <c r="C574" t="s">
        <v>156</v>
      </c>
      <c r="D574" t="s">
        <v>157</v>
      </c>
      <c r="E574" s="1">
        <v>46018</v>
      </c>
      <c r="F574" t="s">
        <v>471</v>
      </c>
      <c r="G574">
        <v>96.7</v>
      </c>
      <c r="H574">
        <v>2025</v>
      </c>
    </row>
    <row r="575" spans="1:8" x14ac:dyDescent="0.25">
      <c r="A575">
        <v>769</v>
      </c>
      <c r="B575" t="s">
        <v>592</v>
      </c>
      <c r="C575" t="s">
        <v>156</v>
      </c>
      <c r="D575" t="s">
        <v>157</v>
      </c>
      <c r="E575" s="1">
        <v>45845</v>
      </c>
      <c r="F575" t="s">
        <v>471</v>
      </c>
      <c r="G575">
        <v>76.239999999999995</v>
      </c>
      <c r="H575">
        <v>2025</v>
      </c>
    </row>
    <row r="576" spans="1:8" x14ac:dyDescent="0.25">
      <c r="A576">
        <v>771</v>
      </c>
      <c r="B576" t="s">
        <v>593</v>
      </c>
      <c r="C576" t="s">
        <v>156</v>
      </c>
      <c r="D576" t="s">
        <v>157</v>
      </c>
      <c r="E576" s="1">
        <v>45858</v>
      </c>
      <c r="F576" t="s">
        <v>471</v>
      </c>
      <c r="G576">
        <v>70.040000000000006</v>
      </c>
      <c r="H576">
        <v>2025</v>
      </c>
    </row>
    <row r="577" spans="1:8" hidden="1" x14ac:dyDescent="0.25">
      <c r="A577">
        <v>772</v>
      </c>
      <c r="B577" t="s">
        <v>594</v>
      </c>
      <c r="C577" t="s">
        <v>9</v>
      </c>
      <c r="D577" t="s">
        <v>10</v>
      </c>
      <c r="E577" s="1">
        <v>46000</v>
      </c>
      <c r="F577" t="s">
        <v>471</v>
      </c>
      <c r="G577">
        <v>75.67</v>
      </c>
      <c r="H577">
        <v>2025</v>
      </c>
    </row>
    <row r="578" spans="1:8" hidden="1" x14ac:dyDescent="0.25">
      <c r="A578">
        <v>778</v>
      </c>
      <c r="B578" t="s">
        <v>595</v>
      </c>
      <c r="C578" t="s">
        <v>85</v>
      </c>
      <c r="D578" t="s">
        <v>86</v>
      </c>
      <c r="E578" s="1">
        <v>45732</v>
      </c>
      <c r="F578" t="s">
        <v>471</v>
      </c>
      <c r="G578">
        <v>73.709999999999994</v>
      </c>
      <c r="H578">
        <v>2025</v>
      </c>
    </row>
    <row r="579" spans="1:8" hidden="1" x14ac:dyDescent="0.25">
      <c r="A579">
        <v>794</v>
      </c>
      <c r="B579" t="s">
        <v>596</v>
      </c>
      <c r="C579" t="s">
        <v>85</v>
      </c>
      <c r="D579" t="s">
        <v>86</v>
      </c>
      <c r="E579" s="1">
        <v>45875</v>
      </c>
      <c r="F579" t="s">
        <v>471</v>
      </c>
      <c r="G579">
        <v>91.07</v>
      </c>
      <c r="H579">
        <v>2025</v>
      </c>
    </row>
    <row r="580" spans="1:8" hidden="1" x14ac:dyDescent="0.25">
      <c r="A580">
        <v>796</v>
      </c>
      <c r="B580" t="s">
        <v>597</v>
      </c>
      <c r="C580" t="s">
        <v>153</v>
      </c>
      <c r="D580" t="s">
        <v>154</v>
      </c>
      <c r="E580" s="1">
        <v>45798</v>
      </c>
      <c r="F580" t="s">
        <v>471</v>
      </c>
      <c r="G580">
        <v>72.05</v>
      </c>
      <c r="H580">
        <v>2025</v>
      </c>
    </row>
    <row r="581" spans="1:8" x14ac:dyDescent="0.25">
      <c r="A581">
        <v>797</v>
      </c>
      <c r="B581" t="s">
        <v>598</v>
      </c>
      <c r="C581" t="s">
        <v>156</v>
      </c>
      <c r="D581" t="s">
        <v>157</v>
      </c>
      <c r="E581" s="1">
        <v>45857</v>
      </c>
      <c r="F581" t="s">
        <v>471</v>
      </c>
      <c r="G581">
        <v>77.41</v>
      </c>
      <c r="H581">
        <v>2025</v>
      </c>
    </row>
    <row r="582" spans="1:8" hidden="1" x14ac:dyDescent="0.25">
      <c r="A582">
        <v>799</v>
      </c>
      <c r="B582" t="s">
        <v>599</v>
      </c>
      <c r="C582" t="s">
        <v>9</v>
      </c>
      <c r="D582" t="s">
        <v>10</v>
      </c>
      <c r="E582" s="1">
        <v>45888</v>
      </c>
      <c r="F582" t="s">
        <v>471</v>
      </c>
      <c r="G582">
        <v>97.21</v>
      </c>
      <c r="H582">
        <v>2025</v>
      </c>
    </row>
    <row r="583" spans="1:8" x14ac:dyDescent="0.25">
      <c r="A583">
        <v>810</v>
      </c>
      <c r="B583" t="s">
        <v>600</v>
      </c>
      <c r="C583" t="s">
        <v>156</v>
      </c>
      <c r="D583" t="s">
        <v>157</v>
      </c>
      <c r="E583" s="1">
        <v>45729</v>
      </c>
      <c r="F583" t="s">
        <v>471</v>
      </c>
      <c r="G583">
        <v>94.15</v>
      </c>
      <c r="H583">
        <v>2025</v>
      </c>
    </row>
    <row r="584" spans="1:8" hidden="1" x14ac:dyDescent="0.25">
      <c r="A584">
        <v>811</v>
      </c>
      <c r="B584" t="s">
        <v>601</v>
      </c>
      <c r="C584" t="s">
        <v>9</v>
      </c>
      <c r="D584" t="s">
        <v>10</v>
      </c>
      <c r="E584" s="1">
        <v>45768</v>
      </c>
      <c r="F584" t="s">
        <v>471</v>
      </c>
      <c r="G584">
        <v>76.17</v>
      </c>
      <c r="H584">
        <v>2025</v>
      </c>
    </row>
    <row r="585" spans="1:8" hidden="1" x14ac:dyDescent="0.25">
      <c r="A585">
        <v>813</v>
      </c>
      <c r="B585" t="s">
        <v>602</v>
      </c>
      <c r="C585" t="s">
        <v>9</v>
      </c>
      <c r="D585" t="s">
        <v>10</v>
      </c>
      <c r="E585" s="1">
        <v>45658</v>
      </c>
      <c r="F585" t="s">
        <v>471</v>
      </c>
      <c r="G585">
        <v>77.56</v>
      </c>
      <c r="H585">
        <v>2025</v>
      </c>
    </row>
    <row r="586" spans="1:8" x14ac:dyDescent="0.25">
      <c r="A586">
        <v>818</v>
      </c>
      <c r="B586" t="s">
        <v>603</v>
      </c>
      <c r="C586" t="s">
        <v>156</v>
      </c>
      <c r="D586" t="s">
        <v>157</v>
      </c>
      <c r="E586" s="1">
        <v>45673</v>
      </c>
      <c r="F586" t="s">
        <v>471</v>
      </c>
      <c r="G586">
        <v>83.58</v>
      </c>
      <c r="H586">
        <v>2025</v>
      </c>
    </row>
    <row r="587" spans="1:8" x14ac:dyDescent="0.25">
      <c r="A587">
        <v>820</v>
      </c>
      <c r="B587" t="s">
        <v>604</v>
      </c>
      <c r="C587" t="s">
        <v>156</v>
      </c>
      <c r="D587" t="s">
        <v>157</v>
      </c>
      <c r="E587" s="1">
        <v>45911</v>
      </c>
      <c r="F587" t="s">
        <v>471</v>
      </c>
      <c r="G587">
        <v>96.31</v>
      </c>
      <c r="H587">
        <v>2025</v>
      </c>
    </row>
    <row r="588" spans="1:8" hidden="1" x14ac:dyDescent="0.25">
      <c r="A588">
        <v>821</v>
      </c>
      <c r="B588" t="s">
        <v>605</v>
      </c>
      <c r="C588" t="s">
        <v>85</v>
      </c>
      <c r="D588" t="s">
        <v>86</v>
      </c>
      <c r="E588" s="1">
        <v>45814</v>
      </c>
      <c r="F588" t="s">
        <v>471</v>
      </c>
      <c r="G588">
        <v>77.989999999999995</v>
      </c>
      <c r="H588">
        <v>2025</v>
      </c>
    </row>
    <row r="589" spans="1:8" hidden="1" x14ac:dyDescent="0.25">
      <c r="A589">
        <v>824</v>
      </c>
      <c r="B589" t="s">
        <v>606</v>
      </c>
      <c r="C589" t="s">
        <v>9</v>
      </c>
      <c r="D589" t="s">
        <v>10</v>
      </c>
      <c r="E589" s="1">
        <v>45752</v>
      </c>
      <c r="F589" t="s">
        <v>471</v>
      </c>
      <c r="G589">
        <v>71.97</v>
      </c>
      <c r="H589">
        <v>2025</v>
      </c>
    </row>
    <row r="590" spans="1:8" hidden="1" x14ac:dyDescent="0.25">
      <c r="A590">
        <v>825</v>
      </c>
      <c r="B590" t="s">
        <v>607</v>
      </c>
      <c r="C590" t="s">
        <v>9</v>
      </c>
      <c r="D590" t="s">
        <v>10</v>
      </c>
      <c r="E590" s="1">
        <v>45683</v>
      </c>
      <c r="F590" t="s">
        <v>471</v>
      </c>
      <c r="G590">
        <v>81.23</v>
      </c>
      <c r="H590">
        <v>2025</v>
      </c>
    </row>
    <row r="591" spans="1:8" x14ac:dyDescent="0.25">
      <c r="A591">
        <v>827</v>
      </c>
      <c r="B591" t="s">
        <v>608</v>
      </c>
      <c r="C591" t="s">
        <v>156</v>
      </c>
      <c r="D591" t="s">
        <v>157</v>
      </c>
      <c r="E591" s="1">
        <v>45869</v>
      </c>
      <c r="F591" t="s">
        <v>471</v>
      </c>
      <c r="G591">
        <v>80.2</v>
      </c>
      <c r="H591">
        <v>2025</v>
      </c>
    </row>
    <row r="592" spans="1:8" x14ac:dyDescent="0.25">
      <c r="A592">
        <v>828</v>
      </c>
      <c r="B592" t="s">
        <v>609</v>
      </c>
      <c r="C592" t="s">
        <v>156</v>
      </c>
      <c r="D592" t="s">
        <v>157</v>
      </c>
      <c r="E592" s="1">
        <v>45893</v>
      </c>
      <c r="F592" t="s">
        <v>471</v>
      </c>
      <c r="G592">
        <v>91.34</v>
      </c>
      <c r="H592">
        <v>2025</v>
      </c>
    </row>
    <row r="593" spans="1:8" x14ac:dyDescent="0.25">
      <c r="A593">
        <v>838</v>
      </c>
      <c r="B593" t="s">
        <v>610</v>
      </c>
      <c r="C593" t="s">
        <v>156</v>
      </c>
      <c r="D593" t="s">
        <v>157</v>
      </c>
      <c r="E593" s="1">
        <v>45789</v>
      </c>
      <c r="F593" t="s">
        <v>471</v>
      </c>
      <c r="G593">
        <v>82.91</v>
      </c>
      <c r="H593">
        <v>2025</v>
      </c>
    </row>
    <row r="594" spans="1:8" hidden="1" x14ac:dyDescent="0.25">
      <c r="A594">
        <v>841</v>
      </c>
      <c r="B594" t="s">
        <v>611</v>
      </c>
      <c r="C594" t="s">
        <v>9</v>
      </c>
      <c r="D594" t="s">
        <v>10</v>
      </c>
      <c r="E594" s="1">
        <v>45956</v>
      </c>
      <c r="F594" t="s">
        <v>471</v>
      </c>
      <c r="G594">
        <v>94.84</v>
      </c>
      <c r="H594">
        <v>2025</v>
      </c>
    </row>
    <row r="595" spans="1:8" hidden="1" x14ac:dyDescent="0.25">
      <c r="A595">
        <v>842</v>
      </c>
      <c r="B595" t="s">
        <v>612</v>
      </c>
      <c r="C595" t="s">
        <v>85</v>
      </c>
      <c r="D595" t="s">
        <v>86</v>
      </c>
      <c r="E595" s="1">
        <v>45939</v>
      </c>
      <c r="F595" t="s">
        <v>471</v>
      </c>
      <c r="G595">
        <v>91.05</v>
      </c>
      <c r="H595">
        <v>2025</v>
      </c>
    </row>
    <row r="596" spans="1:8" hidden="1" x14ac:dyDescent="0.25">
      <c r="A596">
        <v>846</v>
      </c>
      <c r="B596" t="s">
        <v>613</v>
      </c>
      <c r="C596" t="s">
        <v>153</v>
      </c>
      <c r="D596" t="s">
        <v>154</v>
      </c>
      <c r="E596" s="1">
        <v>45750</v>
      </c>
      <c r="F596" t="s">
        <v>471</v>
      </c>
      <c r="G596">
        <v>83.45</v>
      </c>
      <c r="H596">
        <v>2025</v>
      </c>
    </row>
    <row r="597" spans="1:8" x14ac:dyDescent="0.25">
      <c r="A597">
        <v>849</v>
      </c>
      <c r="B597" t="s">
        <v>614</v>
      </c>
      <c r="C597" t="s">
        <v>156</v>
      </c>
      <c r="D597" t="s">
        <v>157</v>
      </c>
      <c r="E597" s="1">
        <v>45829</v>
      </c>
      <c r="F597" t="s">
        <v>471</v>
      </c>
      <c r="G597">
        <v>96.04</v>
      </c>
      <c r="H597">
        <v>2025</v>
      </c>
    </row>
    <row r="598" spans="1:8" hidden="1" x14ac:dyDescent="0.25">
      <c r="A598">
        <v>851</v>
      </c>
      <c r="B598" t="s">
        <v>615</v>
      </c>
      <c r="C598" t="s">
        <v>85</v>
      </c>
      <c r="D598" t="s">
        <v>86</v>
      </c>
      <c r="E598" s="1">
        <v>45689</v>
      </c>
      <c r="F598" t="s">
        <v>471</v>
      </c>
      <c r="G598">
        <v>77.959999999999994</v>
      </c>
      <c r="H598">
        <v>2025</v>
      </c>
    </row>
    <row r="599" spans="1:8" hidden="1" x14ac:dyDescent="0.25">
      <c r="A599">
        <v>852</v>
      </c>
      <c r="B599" t="s">
        <v>616</v>
      </c>
      <c r="C599" t="s">
        <v>85</v>
      </c>
      <c r="D599" t="s">
        <v>86</v>
      </c>
      <c r="E599" s="1">
        <v>45734</v>
      </c>
      <c r="F599" t="s">
        <v>471</v>
      </c>
      <c r="G599">
        <v>82.86</v>
      </c>
      <c r="H599">
        <v>2025</v>
      </c>
    </row>
    <row r="600" spans="1:8" hidden="1" x14ac:dyDescent="0.25">
      <c r="A600">
        <v>859</v>
      </c>
      <c r="B600" t="s">
        <v>617</v>
      </c>
      <c r="C600" t="s">
        <v>9</v>
      </c>
      <c r="D600" t="s">
        <v>10</v>
      </c>
      <c r="E600" s="1">
        <v>45781</v>
      </c>
      <c r="F600" t="s">
        <v>471</v>
      </c>
      <c r="G600">
        <v>70.09</v>
      </c>
      <c r="H600">
        <v>2025</v>
      </c>
    </row>
    <row r="601" spans="1:8" x14ac:dyDescent="0.25">
      <c r="A601">
        <v>864</v>
      </c>
      <c r="B601" t="s">
        <v>618</v>
      </c>
      <c r="C601" t="s">
        <v>156</v>
      </c>
      <c r="D601" t="s">
        <v>157</v>
      </c>
      <c r="E601" s="1">
        <v>46008</v>
      </c>
      <c r="F601" t="s">
        <v>471</v>
      </c>
      <c r="G601">
        <v>72.790000000000006</v>
      </c>
      <c r="H601">
        <v>2025</v>
      </c>
    </row>
    <row r="602" spans="1:8" hidden="1" x14ac:dyDescent="0.25">
      <c r="A602">
        <v>865</v>
      </c>
      <c r="B602" t="s">
        <v>619</v>
      </c>
      <c r="C602" t="s">
        <v>153</v>
      </c>
      <c r="D602" t="s">
        <v>154</v>
      </c>
      <c r="E602" s="1">
        <v>45850</v>
      </c>
      <c r="F602" t="s">
        <v>471</v>
      </c>
      <c r="G602">
        <v>92.4</v>
      </c>
      <c r="H602">
        <v>2025</v>
      </c>
    </row>
    <row r="603" spans="1:8" hidden="1" x14ac:dyDescent="0.25">
      <c r="A603">
        <v>870</v>
      </c>
      <c r="B603" t="s">
        <v>620</v>
      </c>
      <c r="C603" t="s">
        <v>85</v>
      </c>
      <c r="D603" t="s">
        <v>86</v>
      </c>
      <c r="E603" s="1">
        <v>45990</v>
      </c>
      <c r="F603" t="s">
        <v>471</v>
      </c>
      <c r="G603">
        <v>83.2</v>
      </c>
      <c r="H603">
        <v>2025</v>
      </c>
    </row>
    <row r="604" spans="1:8" hidden="1" x14ac:dyDescent="0.25">
      <c r="A604">
        <v>877</v>
      </c>
      <c r="B604" t="s">
        <v>621</v>
      </c>
      <c r="C604" t="s">
        <v>153</v>
      </c>
      <c r="D604" t="s">
        <v>154</v>
      </c>
      <c r="E604" s="1">
        <v>45746</v>
      </c>
      <c r="F604" t="s">
        <v>471</v>
      </c>
      <c r="G604">
        <v>91.05</v>
      </c>
      <c r="H604">
        <v>2025</v>
      </c>
    </row>
    <row r="605" spans="1:8" hidden="1" x14ac:dyDescent="0.25">
      <c r="A605">
        <v>879</v>
      </c>
      <c r="B605" t="s">
        <v>622</v>
      </c>
      <c r="C605" t="s">
        <v>9</v>
      </c>
      <c r="D605" t="s">
        <v>10</v>
      </c>
      <c r="E605" s="1">
        <v>45724</v>
      </c>
      <c r="F605" t="s">
        <v>471</v>
      </c>
      <c r="G605">
        <v>95.07</v>
      </c>
      <c r="H605">
        <v>2025</v>
      </c>
    </row>
    <row r="606" spans="1:8" hidden="1" x14ac:dyDescent="0.25">
      <c r="A606">
        <v>897</v>
      </c>
      <c r="B606" t="s">
        <v>623</v>
      </c>
      <c r="C606" t="s">
        <v>153</v>
      </c>
      <c r="D606" t="s">
        <v>154</v>
      </c>
      <c r="E606" s="1">
        <v>45863</v>
      </c>
      <c r="F606" t="s">
        <v>471</v>
      </c>
      <c r="G606">
        <v>92.18</v>
      </c>
      <c r="H606">
        <v>2025</v>
      </c>
    </row>
    <row r="607" spans="1:8" hidden="1" x14ac:dyDescent="0.25">
      <c r="A607">
        <v>902</v>
      </c>
      <c r="B607" t="s">
        <v>624</v>
      </c>
      <c r="C607" t="s">
        <v>153</v>
      </c>
      <c r="D607" t="s">
        <v>154</v>
      </c>
      <c r="E607" s="1">
        <v>45913</v>
      </c>
      <c r="F607" t="s">
        <v>471</v>
      </c>
      <c r="G607">
        <v>71.06</v>
      </c>
      <c r="H607">
        <v>2025</v>
      </c>
    </row>
    <row r="608" spans="1:8" hidden="1" x14ac:dyDescent="0.25">
      <c r="A608">
        <v>906</v>
      </c>
      <c r="B608" t="s">
        <v>625</v>
      </c>
      <c r="C608" t="s">
        <v>9</v>
      </c>
      <c r="D608" t="s">
        <v>10</v>
      </c>
      <c r="E608" s="1">
        <v>46009</v>
      </c>
      <c r="F608" t="s">
        <v>471</v>
      </c>
      <c r="G608">
        <v>79.22</v>
      </c>
      <c r="H608">
        <v>2025</v>
      </c>
    </row>
    <row r="609" spans="1:8" hidden="1" x14ac:dyDescent="0.25">
      <c r="A609">
        <v>912</v>
      </c>
      <c r="B609" t="s">
        <v>626</v>
      </c>
      <c r="C609" t="s">
        <v>85</v>
      </c>
      <c r="D609" t="s">
        <v>86</v>
      </c>
      <c r="E609" s="1">
        <v>45678</v>
      </c>
      <c r="F609" t="s">
        <v>471</v>
      </c>
      <c r="G609">
        <v>79.75</v>
      </c>
      <c r="H609">
        <v>2025</v>
      </c>
    </row>
    <row r="610" spans="1:8" x14ac:dyDescent="0.25">
      <c r="A610">
        <v>917</v>
      </c>
      <c r="B610" t="s">
        <v>627</v>
      </c>
      <c r="C610" t="s">
        <v>156</v>
      </c>
      <c r="D610" t="s">
        <v>157</v>
      </c>
      <c r="E610" s="1">
        <v>45868</v>
      </c>
      <c r="F610" t="s">
        <v>471</v>
      </c>
      <c r="G610">
        <v>71.34</v>
      </c>
      <c r="H610">
        <v>2025</v>
      </c>
    </row>
    <row r="611" spans="1:8" hidden="1" x14ac:dyDescent="0.25">
      <c r="A611">
        <v>918</v>
      </c>
      <c r="B611" t="s">
        <v>628</v>
      </c>
      <c r="C611" t="s">
        <v>153</v>
      </c>
      <c r="D611" t="s">
        <v>154</v>
      </c>
      <c r="E611" s="1">
        <v>45958</v>
      </c>
      <c r="F611" t="s">
        <v>471</v>
      </c>
      <c r="G611">
        <v>81.7</v>
      </c>
      <c r="H611">
        <v>2025</v>
      </c>
    </row>
    <row r="612" spans="1:8" hidden="1" x14ac:dyDescent="0.25">
      <c r="A612">
        <v>922</v>
      </c>
      <c r="B612" t="s">
        <v>629</v>
      </c>
      <c r="C612" t="s">
        <v>9</v>
      </c>
      <c r="D612" t="s">
        <v>10</v>
      </c>
      <c r="E612" s="1">
        <v>45814</v>
      </c>
      <c r="F612" t="s">
        <v>471</v>
      </c>
      <c r="G612">
        <v>99.41</v>
      </c>
      <c r="H612">
        <v>2025</v>
      </c>
    </row>
    <row r="613" spans="1:8" hidden="1" x14ac:dyDescent="0.25">
      <c r="A613">
        <v>934</v>
      </c>
      <c r="B613" t="s">
        <v>630</v>
      </c>
      <c r="C613" t="s">
        <v>153</v>
      </c>
      <c r="D613" t="s">
        <v>154</v>
      </c>
      <c r="E613" s="1">
        <v>45690</v>
      </c>
      <c r="F613" t="s">
        <v>471</v>
      </c>
      <c r="G613">
        <v>93.38</v>
      </c>
      <c r="H613">
        <v>2025</v>
      </c>
    </row>
    <row r="614" spans="1:8" x14ac:dyDescent="0.25">
      <c r="A614">
        <v>938</v>
      </c>
      <c r="B614" t="s">
        <v>631</v>
      </c>
      <c r="C614" t="s">
        <v>156</v>
      </c>
      <c r="D614" t="s">
        <v>157</v>
      </c>
      <c r="E614" s="1">
        <v>46013</v>
      </c>
      <c r="F614" t="s">
        <v>471</v>
      </c>
      <c r="G614">
        <v>76.37</v>
      </c>
      <c r="H614">
        <v>2025</v>
      </c>
    </row>
    <row r="615" spans="1:8" hidden="1" x14ac:dyDescent="0.25">
      <c r="A615">
        <v>942</v>
      </c>
      <c r="B615" t="s">
        <v>632</v>
      </c>
      <c r="C615" t="s">
        <v>9</v>
      </c>
      <c r="D615" t="s">
        <v>10</v>
      </c>
      <c r="E615" s="1">
        <v>45896</v>
      </c>
      <c r="F615" t="s">
        <v>471</v>
      </c>
      <c r="G615">
        <v>96.9</v>
      </c>
      <c r="H615">
        <v>2025</v>
      </c>
    </row>
    <row r="616" spans="1:8" x14ac:dyDescent="0.25">
      <c r="A616">
        <v>945</v>
      </c>
      <c r="B616" t="s">
        <v>633</v>
      </c>
      <c r="C616" t="s">
        <v>156</v>
      </c>
      <c r="D616" t="s">
        <v>157</v>
      </c>
      <c r="E616" s="1">
        <v>45700</v>
      </c>
      <c r="F616" t="s">
        <v>471</v>
      </c>
      <c r="G616">
        <v>77.69</v>
      </c>
      <c r="H616">
        <v>2025</v>
      </c>
    </row>
    <row r="617" spans="1:8" hidden="1" x14ac:dyDescent="0.25">
      <c r="A617">
        <v>946</v>
      </c>
      <c r="B617" t="s">
        <v>634</v>
      </c>
      <c r="C617" t="s">
        <v>85</v>
      </c>
      <c r="D617" t="s">
        <v>86</v>
      </c>
      <c r="E617" s="1">
        <v>45849</v>
      </c>
      <c r="F617" t="s">
        <v>471</v>
      </c>
      <c r="G617">
        <v>91.64</v>
      </c>
      <c r="H617">
        <v>2025</v>
      </c>
    </row>
    <row r="618" spans="1:8" hidden="1" x14ac:dyDescent="0.25">
      <c r="A618">
        <v>968</v>
      </c>
      <c r="B618" t="s">
        <v>635</v>
      </c>
      <c r="C618" t="s">
        <v>85</v>
      </c>
      <c r="D618" t="s">
        <v>86</v>
      </c>
      <c r="E618" s="1">
        <v>45823</v>
      </c>
      <c r="F618" t="s">
        <v>471</v>
      </c>
      <c r="G618">
        <v>83.3</v>
      </c>
      <c r="H618">
        <v>2025</v>
      </c>
    </row>
    <row r="619" spans="1:8" hidden="1" x14ac:dyDescent="0.25">
      <c r="A619">
        <v>971</v>
      </c>
      <c r="B619" t="s">
        <v>636</v>
      </c>
      <c r="C619" t="s">
        <v>85</v>
      </c>
      <c r="D619" t="s">
        <v>86</v>
      </c>
      <c r="E619" s="1">
        <v>45661</v>
      </c>
      <c r="F619" t="s">
        <v>471</v>
      </c>
      <c r="G619">
        <v>84.41</v>
      </c>
      <c r="H619">
        <v>2025</v>
      </c>
    </row>
    <row r="620" spans="1:8" hidden="1" x14ac:dyDescent="0.25">
      <c r="A620">
        <v>972</v>
      </c>
      <c r="B620" t="s">
        <v>637</v>
      </c>
      <c r="C620" t="s">
        <v>9</v>
      </c>
      <c r="D620" t="s">
        <v>10</v>
      </c>
      <c r="E620" s="1">
        <v>46018</v>
      </c>
      <c r="F620" t="s">
        <v>471</v>
      </c>
      <c r="G620">
        <v>85.55</v>
      </c>
      <c r="H620">
        <v>2025</v>
      </c>
    </row>
    <row r="621" spans="1:8" hidden="1" x14ac:dyDescent="0.25">
      <c r="A621">
        <v>984</v>
      </c>
      <c r="B621" t="s">
        <v>638</v>
      </c>
      <c r="C621" t="s">
        <v>153</v>
      </c>
      <c r="D621" t="s">
        <v>154</v>
      </c>
      <c r="E621" s="1">
        <v>45929</v>
      </c>
      <c r="F621" t="s">
        <v>471</v>
      </c>
      <c r="G621">
        <v>84.52</v>
      </c>
      <c r="H621">
        <v>2025</v>
      </c>
    </row>
    <row r="622" spans="1:8" hidden="1" x14ac:dyDescent="0.25">
      <c r="A622">
        <v>993</v>
      </c>
      <c r="B622" t="s">
        <v>639</v>
      </c>
      <c r="C622" t="s">
        <v>9</v>
      </c>
      <c r="D622" t="s">
        <v>10</v>
      </c>
      <c r="E622" s="1">
        <v>46006</v>
      </c>
      <c r="F622" t="s">
        <v>471</v>
      </c>
      <c r="G622">
        <v>73.099999999999994</v>
      </c>
      <c r="H622">
        <v>2025</v>
      </c>
    </row>
    <row r="623" spans="1:8" hidden="1" x14ac:dyDescent="0.25">
      <c r="A623">
        <v>997</v>
      </c>
      <c r="B623" t="s">
        <v>640</v>
      </c>
      <c r="C623" t="s">
        <v>153</v>
      </c>
      <c r="D623" t="s">
        <v>154</v>
      </c>
      <c r="E623" s="1">
        <v>45918</v>
      </c>
      <c r="F623" t="s">
        <v>471</v>
      </c>
      <c r="G623">
        <v>79.790000000000006</v>
      </c>
      <c r="H623">
        <v>2025</v>
      </c>
    </row>
    <row r="624" spans="1:8" hidden="1" x14ac:dyDescent="0.25">
      <c r="A624">
        <v>1</v>
      </c>
      <c r="B624" t="s">
        <v>641</v>
      </c>
      <c r="C624" t="s">
        <v>9</v>
      </c>
      <c r="D624" t="s">
        <v>10</v>
      </c>
      <c r="E624" s="1">
        <v>45814</v>
      </c>
      <c r="F624" t="s">
        <v>642</v>
      </c>
      <c r="G624">
        <v>92.42</v>
      </c>
      <c r="H624">
        <v>2025</v>
      </c>
    </row>
    <row r="625" spans="1:8" hidden="1" x14ac:dyDescent="0.25">
      <c r="A625">
        <v>15</v>
      </c>
      <c r="B625" t="s">
        <v>643</v>
      </c>
      <c r="C625" t="s">
        <v>9</v>
      </c>
      <c r="D625" t="s">
        <v>10</v>
      </c>
      <c r="E625" s="1">
        <v>45925</v>
      </c>
      <c r="F625" t="s">
        <v>642</v>
      </c>
      <c r="G625">
        <v>77.23</v>
      </c>
      <c r="H625">
        <v>2025</v>
      </c>
    </row>
    <row r="626" spans="1:8" x14ac:dyDescent="0.25">
      <c r="A626">
        <v>20</v>
      </c>
      <c r="B626" t="s">
        <v>644</v>
      </c>
      <c r="C626" t="s">
        <v>156</v>
      </c>
      <c r="D626" t="s">
        <v>157</v>
      </c>
      <c r="E626" s="1">
        <v>45875</v>
      </c>
      <c r="F626" t="s">
        <v>642</v>
      </c>
      <c r="G626">
        <v>98.83</v>
      </c>
      <c r="H626">
        <v>2025</v>
      </c>
    </row>
    <row r="627" spans="1:8" hidden="1" x14ac:dyDescent="0.25">
      <c r="A627">
        <v>25</v>
      </c>
      <c r="B627" t="s">
        <v>645</v>
      </c>
      <c r="C627" t="s">
        <v>153</v>
      </c>
      <c r="D627" t="s">
        <v>154</v>
      </c>
      <c r="E627" s="1">
        <v>45751</v>
      </c>
      <c r="F627" t="s">
        <v>642</v>
      </c>
      <c r="G627">
        <v>89.89</v>
      </c>
      <c r="H627">
        <v>2025</v>
      </c>
    </row>
    <row r="628" spans="1:8" hidden="1" x14ac:dyDescent="0.25">
      <c r="A628">
        <v>33</v>
      </c>
      <c r="B628" t="s">
        <v>646</v>
      </c>
      <c r="C628" t="s">
        <v>85</v>
      </c>
      <c r="D628" t="s">
        <v>86</v>
      </c>
      <c r="E628" s="1">
        <v>45765</v>
      </c>
      <c r="F628" t="s">
        <v>642</v>
      </c>
      <c r="G628">
        <v>99.49</v>
      </c>
      <c r="H628">
        <v>2025</v>
      </c>
    </row>
    <row r="629" spans="1:8" hidden="1" x14ac:dyDescent="0.25">
      <c r="A629">
        <v>34</v>
      </c>
      <c r="B629" t="s">
        <v>647</v>
      </c>
      <c r="C629" t="s">
        <v>85</v>
      </c>
      <c r="D629" t="s">
        <v>86</v>
      </c>
      <c r="E629" s="1">
        <v>45734</v>
      </c>
      <c r="F629" t="s">
        <v>642</v>
      </c>
      <c r="G629">
        <v>97</v>
      </c>
      <c r="H629">
        <v>2025</v>
      </c>
    </row>
    <row r="630" spans="1:8" hidden="1" x14ac:dyDescent="0.25">
      <c r="A630">
        <v>35</v>
      </c>
      <c r="B630" t="s">
        <v>648</v>
      </c>
      <c r="C630" t="s">
        <v>9</v>
      </c>
      <c r="D630" t="s">
        <v>10</v>
      </c>
      <c r="E630" s="1">
        <v>45670</v>
      </c>
      <c r="F630" t="s">
        <v>642</v>
      </c>
      <c r="G630">
        <v>79.739999999999995</v>
      </c>
      <c r="H630">
        <v>2025</v>
      </c>
    </row>
    <row r="631" spans="1:8" hidden="1" x14ac:dyDescent="0.25">
      <c r="A631">
        <v>48</v>
      </c>
      <c r="B631" t="s">
        <v>649</v>
      </c>
      <c r="C631" t="s">
        <v>153</v>
      </c>
      <c r="D631" t="s">
        <v>154</v>
      </c>
      <c r="E631" s="1">
        <v>45970</v>
      </c>
      <c r="F631" t="s">
        <v>642</v>
      </c>
      <c r="G631">
        <v>74.75</v>
      </c>
      <c r="H631">
        <v>2025</v>
      </c>
    </row>
    <row r="632" spans="1:8" hidden="1" x14ac:dyDescent="0.25">
      <c r="A632">
        <v>59</v>
      </c>
      <c r="B632" t="s">
        <v>650</v>
      </c>
      <c r="C632" t="s">
        <v>85</v>
      </c>
      <c r="D632" t="s">
        <v>86</v>
      </c>
      <c r="E632" s="1">
        <v>45706</v>
      </c>
      <c r="F632" t="s">
        <v>642</v>
      </c>
      <c r="G632">
        <v>79.62</v>
      </c>
      <c r="H632">
        <v>2025</v>
      </c>
    </row>
    <row r="633" spans="1:8" hidden="1" x14ac:dyDescent="0.25">
      <c r="A633">
        <v>71</v>
      </c>
      <c r="B633" t="s">
        <v>651</v>
      </c>
      <c r="C633" t="s">
        <v>85</v>
      </c>
      <c r="D633" t="s">
        <v>86</v>
      </c>
      <c r="E633" s="1">
        <v>45766</v>
      </c>
      <c r="F633" t="s">
        <v>642</v>
      </c>
      <c r="G633">
        <v>94.95</v>
      </c>
      <c r="H633">
        <v>2025</v>
      </c>
    </row>
    <row r="634" spans="1:8" x14ac:dyDescent="0.25">
      <c r="A634">
        <v>79</v>
      </c>
      <c r="B634" t="s">
        <v>652</v>
      </c>
      <c r="C634" t="s">
        <v>156</v>
      </c>
      <c r="D634" t="s">
        <v>157</v>
      </c>
      <c r="E634" s="1">
        <v>45861</v>
      </c>
      <c r="F634" t="s">
        <v>642</v>
      </c>
      <c r="G634">
        <v>72.78</v>
      </c>
      <c r="H634">
        <v>2025</v>
      </c>
    </row>
    <row r="635" spans="1:8" hidden="1" x14ac:dyDescent="0.25">
      <c r="A635">
        <v>83</v>
      </c>
      <c r="B635" t="s">
        <v>653</v>
      </c>
      <c r="C635" t="s">
        <v>9</v>
      </c>
      <c r="D635" t="s">
        <v>10</v>
      </c>
      <c r="E635" s="1">
        <v>45663</v>
      </c>
      <c r="F635" t="s">
        <v>642</v>
      </c>
      <c r="G635">
        <v>84.68</v>
      </c>
      <c r="H635">
        <v>2025</v>
      </c>
    </row>
    <row r="636" spans="1:8" hidden="1" x14ac:dyDescent="0.25">
      <c r="A636">
        <v>85</v>
      </c>
      <c r="B636" t="s">
        <v>654</v>
      </c>
      <c r="C636" t="s">
        <v>85</v>
      </c>
      <c r="D636" t="s">
        <v>86</v>
      </c>
      <c r="E636" s="1">
        <v>45761</v>
      </c>
      <c r="F636" t="s">
        <v>642</v>
      </c>
      <c r="G636">
        <v>86.83</v>
      </c>
      <c r="H636">
        <v>2025</v>
      </c>
    </row>
    <row r="637" spans="1:8" hidden="1" x14ac:dyDescent="0.25">
      <c r="A637">
        <v>117</v>
      </c>
      <c r="B637" t="s">
        <v>655</v>
      </c>
      <c r="C637" t="s">
        <v>153</v>
      </c>
      <c r="D637" t="s">
        <v>154</v>
      </c>
      <c r="E637" s="1">
        <v>45857</v>
      </c>
      <c r="F637" t="s">
        <v>642</v>
      </c>
      <c r="G637">
        <v>90.19</v>
      </c>
      <c r="H637">
        <v>2025</v>
      </c>
    </row>
    <row r="638" spans="1:8" hidden="1" x14ac:dyDescent="0.25">
      <c r="A638">
        <v>119</v>
      </c>
      <c r="B638" t="s">
        <v>656</v>
      </c>
      <c r="C638" t="s">
        <v>9</v>
      </c>
      <c r="D638" t="s">
        <v>10</v>
      </c>
      <c r="E638" s="1">
        <v>45709</v>
      </c>
      <c r="F638" t="s">
        <v>642</v>
      </c>
      <c r="G638">
        <v>76.62</v>
      </c>
      <c r="H638">
        <v>2025</v>
      </c>
    </row>
    <row r="639" spans="1:8" hidden="1" x14ac:dyDescent="0.25">
      <c r="A639">
        <v>148</v>
      </c>
      <c r="B639" t="s">
        <v>657</v>
      </c>
      <c r="C639" t="s">
        <v>153</v>
      </c>
      <c r="D639" t="s">
        <v>154</v>
      </c>
      <c r="E639" s="1">
        <v>45686</v>
      </c>
      <c r="F639" t="s">
        <v>642</v>
      </c>
      <c r="G639">
        <v>90.01</v>
      </c>
      <c r="H639">
        <v>2025</v>
      </c>
    </row>
    <row r="640" spans="1:8" hidden="1" x14ac:dyDescent="0.25">
      <c r="A640">
        <v>149</v>
      </c>
      <c r="B640" t="s">
        <v>658</v>
      </c>
      <c r="C640" t="s">
        <v>153</v>
      </c>
      <c r="D640" t="s">
        <v>154</v>
      </c>
      <c r="E640" s="1">
        <v>45888</v>
      </c>
      <c r="F640" t="s">
        <v>642</v>
      </c>
      <c r="G640">
        <v>93.22</v>
      </c>
      <c r="H640">
        <v>2025</v>
      </c>
    </row>
    <row r="641" spans="1:8" x14ac:dyDescent="0.25">
      <c r="A641">
        <v>163</v>
      </c>
      <c r="B641" t="s">
        <v>659</v>
      </c>
      <c r="C641" t="s">
        <v>156</v>
      </c>
      <c r="D641" t="s">
        <v>157</v>
      </c>
      <c r="E641" s="1">
        <v>45686</v>
      </c>
      <c r="F641" t="s">
        <v>642</v>
      </c>
      <c r="G641">
        <v>79.36</v>
      </c>
      <c r="H641">
        <v>2025</v>
      </c>
    </row>
    <row r="642" spans="1:8" hidden="1" x14ac:dyDescent="0.25">
      <c r="A642">
        <v>167</v>
      </c>
      <c r="B642" t="s">
        <v>660</v>
      </c>
      <c r="C642" t="s">
        <v>85</v>
      </c>
      <c r="D642" t="s">
        <v>86</v>
      </c>
      <c r="E642" s="1">
        <v>45694</v>
      </c>
      <c r="F642" t="s">
        <v>642</v>
      </c>
      <c r="G642">
        <v>91.12</v>
      </c>
      <c r="H642">
        <v>2025</v>
      </c>
    </row>
    <row r="643" spans="1:8" x14ac:dyDescent="0.25">
      <c r="A643">
        <v>185</v>
      </c>
      <c r="B643" t="s">
        <v>661</v>
      </c>
      <c r="C643" t="s">
        <v>156</v>
      </c>
      <c r="D643" t="s">
        <v>157</v>
      </c>
      <c r="E643" s="1">
        <v>45753</v>
      </c>
      <c r="F643" t="s">
        <v>642</v>
      </c>
      <c r="G643">
        <v>89.23</v>
      </c>
      <c r="H643">
        <v>2025</v>
      </c>
    </row>
    <row r="644" spans="1:8" x14ac:dyDescent="0.25">
      <c r="A644">
        <v>207</v>
      </c>
      <c r="B644" t="s">
        <v>662</v>
      </c>
      <c r="C644" t="s">
        <v>156</v>
      </c>
      <c r="D644" t="s">
        <v>157</v>
      </c>
      <c r="E644" s="1">
        <v>45769</v>
      </c>
      <c r="F644" t="s">
        <v>642</v>
      </c>
      <c r="G644">
        <v>99.64</v>
      </c>
      <c r="H644">
        <v>2025</v>
      </c>
    </row>
    <row r="645" spans="1:8" hidden="1" x14ac:dyDescent="0.25">
      <c r="A645">
        <v>213</v>
      </c>
      <c r="B645" t="s">
        <v>663</v>
      </c>
      <c r="C645" t="s">
        <v>85</v>
      </c>
      <c r="D645" t="s">
        <v>86</v>
      </c>
      <c r="E645" s="1">
        <v>45774</v>
      </c>
      <c r="F645" t="s">
        <v>642</v>
      </c>
      <c r="G645">
        <v>89.47</v>
      </c>
      <c r="H645">
        <v>2025</v>
      </c>
    </row>
    <row r="646" spans="1:8" hidden="1" x14ac:dyDescent="0.25">
      <c r="A646">
        <v>220</v>
      </c>
      <c r="B646" t="s">
        <v>664</v>
      </c>
      <c r="C646" t="s">
        <v>153</v>
      </c>
      <c r="D646" t="s">
        <v>154</v>
      </c>
      <c r="E646" s="1">
        <v>45909</v>
      </c>
      <c r="F646" t="s">
        <v>642</v>
      </c>
      <c r="G646">
        <v>75.790000000000006</v>
      </c>
      <c r="H646">
        <v>2025</v>
      </c>
    </row>
    <row r="647" spans="1:8" hidden="1" x14ac:dyDescent="0.25">
      <c r="A647">
        <v>222</v>
      </c>
      <c r="B647" t="s">
        <v>665</v>
      </c>
      <c r="C647" t="s">
        <v>153</v>
      </c>
      <c r="D647" t="s">
        <v>154</v>
      </c>
      <c r="E647" s="1">
        <v>45959</v>
      </c>
      <c r="F647" t="s">
        <v>642</v>
      </c>
      <c r="G647">
        <v>77.040000000000006</v>
      </c>
      <c r="H647">
        <v>2025</v>
      </c>
    </row>
    <row r="648" spans="1:8" hidden="1" x14ac:dyDescent="0.25">
      <c r="A648">
        <v>223</v>
      </c>
      <c r="B648" t="s">
        <v>666</v>
      </c>
      <c r="C648" t="s">
        <v>9</v>
      </c>
      <c r="D648" t="s">
        <v>10</v>
      </c>
      <c r="E648" s="1">
        <v>45688</v>
      </c>
      <c r="F648" t="s">
        <v>642</v>
      </c>
      <c r="G648">
        <v>78.78</v>
      </c>
      <c r="H648">
        <v>2025</v>
      </c>
    </row>
    <row r="649" spans="1:8" hidden="1" x14ac:dyDescent="0.25">
      <c r="A649">
        <v>224</v>
      </c>
      <c r="B649" t="s">
        <v>667</v>
      </c>
      <c r="C649" t="s">
        <v>9</v>
      </c>
      <c r="D649" t="s">
        <v>10</v>
      </c>
      <c r="E649" s="1">
        <v>45828</v>
      </c>
      <c r="F649" t="s">
        <v>642</v>
      </c>
      <c r="G649">
        <v>76.010000000000005</v>
      </c>
      <c r="H649">
        <v>2025</v>
      </c>
    </row>
    <row r="650" spans="1:8" hidden="1" x14ac:dyDescent="0.25">
      <c r="A650">
        <v>229</v>
      </c>
      <c r="B650" t="s">
        <v>668</v>
      </c>
      <c r="C650" t="s">
        <v>9</v>
      </c>
      <c r="D650" t="s">
        <v>10</v>
      </c>
      <c r="E650" s="1">
        <v>45835</v>
      </c>
      <c r="F650" t="s">
        <v>642</v>
      </c>
      <c r="G650">
        <v>81.13</v>
      </c>
      <c r="H650">
        <v>2025</v>
      </c>
    </row>
    <row r="651" spans="1:8" hidden="1" x14ac:dyDescent="0.25">
      <c r="A651">
        <v>235</v>
      </c>
      <c r="B651" t="s">
        <v>669</v>
      </c>
      <c r="C651" t="s">
        <v>153</v>
      </c>
      <c r="D651" t="s">
        <v>154</v>
      </c>
      <c r="E651" s="1">
        <v>45926</v>
      </c>
      <c r="F651" t="s">
        <v>642</v>
      </c>
      <c r="G651">
        <v>86.84</v>
      </c>
      <c r="H651">
        <v>2025</v>
      </c>
    </row>
    <row r="652" spans="1:8" hidden="1" x14ac:dyDescent="0.25">
      <c r="A652">
        <v>245</v>
      </c>
      <c r="B652" t="s">
        <v>670</v>
      </c>
      <c r="C652" t="s">
        <v>85</v>
      </c>
      <c r="D652" t="s">
        <v>86</v>
      </c>
      <c r="E652" s="1">
        <v>45769</v>
      </c>
      <c r="F652" t="s">
        <v>642</v>
      </c>
      <c r="G652">
        <v>88.63</v>
      </c>
      <c r="H652">
        <v>2025</v>
      </c>
    </row>
    <row r="653" spans="1:8" hidden="1" x14ac:dyDescent="0.25">
      <c r="A653">
        <v>254</v>
      </c>
      <c r="B653" t="s">
        <v>671</v>
      </c>
      <c r="C653" t="s">
        <v>85</v>
      </c>
      <c r="D653" t="s">
        <v>86</v>
      </c>
      <c r="E653" s="1">
        <v>45762</v>
      </c>
      <c r="F653" t="s">
        <v>642</v>
      </c>
      <c r="G653">
        <v>71.55</v>
      </c>
      <c r="H653">
        <v>2025</v>
      </c>
    </row>
    <row r="654" spans="1:8" x14ac:dyDescent="0.25">
      <c r="A654">
        <v>257</v>
      </c>
      <c r="B654" t="s">
        <v>672</v>
      </c>
      <c r="C654" t="s">
        <v>156</v>
      </c>
      <c r="D654" t="s">
        <v>157</v>
      </c>
      <c r="E654" s="1">
        <v>45709</v>
      </c>
      <c r="F654" t="s">
        <v>642</v>
      </c>
      <c r="G654">
        <v>88.94</v>
      </c>
      <c r="H654">
        <v>2025</v>
      </c>
    </row>
    <row r="655" spans="1:8" hidden="1" x14ac:dyDescent="0.25">
      <c r="A655">
        <v>264</v>
      </c>
      <c r="B655" t="s">
        <v>673</v>
      </c>
      <c r="C655" t="s">
        <v>9</v>
      </c>
      <c r="D655" t="s">
        <v>10</v>
      </c>
      <c r="E655" s="1">
        <v>45794</v>
      </c>
      <c r="F655" t="s">
        <v>642</v>
      </c>
      <c r="G655">
        <v>93.4</v>
      </c>
      <c r="H655">
        <v>2025</v>
      </c>
    </row>
    <row r="656" spans="1:8" hidden="1" x14ac:dyDescent="0.25">
      <c r="A656">
        <v>269</v>
      </c>
      <c r="B656" t="s">
        <v>674</v>
      </c>
      <c r="C656" t="s">
        <v>85</v>
      </c>
      <c r="D656" t="s">
        <v>86</v>
      </c>
      <c r="E656" s="1">
        <v>45809</v>
      </c>
      <c r="F656" t="s">
        <v>642</v>
      </c>
      <c r="G656">
        <v>78.89</v>
      </c>
      <c r="H656">
        <v>2025</v>
      </c>
    </row>
    <row r="657" spans="1:8" hidden="1" x14ac:dyDescent="0.25">
      <c r="A657">
        <v>313</v>
      </c>
      <c r="B657" t="s">
        <v>675</v>
      </c>
      <c r="C657" t="s">
        <v>153</v>
      </c>
      <c r="D657" t="s">
        <v>154</v>
      </c>
      <c r="E657" s="1">
        <v>45816</v>
      </c>
      <c r="F657" t="s">
        <v>642</v>
      </c>
      <c r="G657">
        <v>94.39</v>
      </c>
      <c r="H657">
        <v>2025</v>
      </c>
    </row>
    <row r="658" spans="1:8" hidden="1" x14ac:dyDescent="0.25">
      <c r="A658">
        <v>316</v>
      </c>
      <c r="B658" t="s">
        <v>676</v>
      </c>
      <c r="C658" t="s">
        <v>153</v>
      </c>
      <c r="D658" t="s">
        <v>154</v>
      </c>
      <c r="E658" s="1">
        <v>45993</v>
      </c>
      <c r="F658" t="s">
        <v>642</v>
      </c>
      <c r="G658">
        <v>77.11</v>
      </c>
      <c r="H658">
        <v>2025</v>
      </c>
    </row>
    <row r="659" spans="1:8" hidden="1" x14ac:dyDescent="0.25">
      <c r="A659">
        <v>319</v>
      </c>
      <c r="B659" t="s">
        <v>677</v>
      </c>
      <c r="C659" t="s">
        <v>153</v>
      </c>
      <c r="D659" t="s">
        <v>154</v>
      </c>
      <c r="E659" s="1">
        <v>45789</v>
      </c>
      <c r="F659" t="s">
        <v>642</v>
      </c>
      <c r="G659">
        <v>87.56</v>
      </c>
      <c r="H659">
        <v>2025</v>
      </c>
    </row>
    <row r="660" spans="1:8" x14ac:dyDescent="0.25">
      <c r="A660">
        <v>328</v>
      </c>
      <c r="B660" t="s">
        <v>678</v>
      </c>
      <c r="C660" t="s">
        <v>156</v>
      </c>
      <c r="D660" t="s">
        <v>157</v>
      </c>
      <c r="E660" s="1">
        <v>45846</v>
      </c>
      <c r="F660" t="s">
        <v>642</v>
      </c>
      <c r="G660">
        <v>75.09</v>
      </c>
      <c r="H660">
        <v>2025</v>
      </c>
    </row>
    <row r="661" spans="1:8" hidden="1" x14ac:dyDescent="0.25">
      <c r="A661">
        <v>332</v>
      </c>
      <c r="B661" t="s">
        <v>679</v>
      </c>
      <c r="C661" t="s">
        <v>85</v>
      </c>
      <c r="D661" t="s">
        <v>86</v>
      </c>
      <c r="E661" s="1">
        <v>45738</v>
      </c>
      <c r="F661" t="s">
        <v>642</v>
      </c>
      <c r="G661">
        <v>97.52</v>
      </c>
      <c r="H661">
        <v>2025</v>
      </c>
    </row>
    <row r="662" spans="1:8" x14ac:dyDescent="0.25">
      <c r="A662">
        <v>345</v>
      </c>
      <c r="B662" t="s">
        <v>680</v>
      </c>
      <c r="C662" t="s">
        <v>156</v>
      </c>
      <c r="D662" t="s">
        <v>157</v>
      </c>
      <c r="E662" s="1">
        <v>45711</v>
      </c>
      <c r="F662" t="s">
        <v>642</v>
      </c>
      <c r="G662">
        <v>93.99</v>
      </c>
      <c r="H662">
        <v>2025</v>
      </c>
    </row>
    <row r="663" spans="1:8" hidden="1" x14ac:dyDescent="0.25">
      <c r="A663">
        <v>349</v>
      </c>
      <c r="B663" t="s">
        <v>681</v>
      </c>
      <c r="C663" t="s">
        <v>9</v>
      </c>
      <c r="D663" t="s">
        <v>10</v>
      </c>
      <c r="E663" s="1">
        <v>45703</v>
      </c>
      <c r="F663" t="s">
        <v>642</v>
      </c>
      <c r="G663">
        <v>93.55</v>
      </c>
      <c r="H663">
        <v>2025</v>
      </c>
    </row>
    <row r="664" spans="1:8" hidden="1" x14ac:dyDescent="0.25">
      <c r="A664">
        <v>361</v>
      </c>
      <c r="B664" t="s">
        <v>682</v>
      </c>
      <c r="C664" t="s">
        <v>9</v>
      </c>
      <c r="D664" t="s">
        <v>10</v>
      </c>
      <c r="E664" s="1">
        <v>45885</v>
      </c>
      <c r="F664" t="s">
        <v>642</v>
      </c>
      <c r="G664">
        <v>70.39</v>
      </c>
      <c r="H664">
        <v>2025</v>
      </c>
    </row>
    <row r="665" spans="1:8" hidden="1" x14ac:dyDescent="0.25">
      <c r="A665">
        <v>372</v>
      </c>
      <c r="B665" t="s">
        <v>683</v>
      </c>
      <c r="C665" t="s">
        <v>153</v>
      </c>
      <c r="D665" t="s">
        <v>154</v>
      </c>
      <c r="E665" s="1">
        <v>45902</v>
      </c>
      <c r="F665" t="s">
        <v>642</v>
      </c>
      <c r="G665">
        <v>78.3</v>
      </c>
      <c r="H665">
        <v>2025</v>
      </c>
    </row>
    <row r="666" spans="1:8" hidden="1" x14ac:dyDescent="0.25">
      <c r="A666">
        <v>376</v>
      </c>
      <c r="B666" t="s">
        <v>684</v>
      </c>
      <c r="C666" t="s">
        <v>9</v>
      </c>
      <c r="D666" t="s">
        <v>10</v>
      </c>
      <c r="E666" s="1">
        <v>45714</v>
      </c>
      <c r="F666" t="s">
        <v>642</v>
      </c>
      <c r="G666">
        <v>76.319999999999993</v>
      </c>
      <c r="H666">
        <v>2025</v>
      </c>
    </row>
    <row r="667" spans="1:8" x14ac:dyDescent="0.25">
      <c r="A667">
        <v>380</v>
      </c>
      <c r="B667" t="s">
        <v>685</v>
      </c>
      <c r="C667" t="s">
        <v>156</v>
      </c>
      <c r="D667" t="s">
        <v>157</v>
      </c>
      <c r="E667" s="1">
        <v>45903</v>
      </c>
      <c r="F667" t="s">
        <v>642</v>
      </c>
      <c r="G667">
        <v>91.07</v>
      </c>
      <c r="H667">
        <v>2025</v>
      </c>
    </row>
    <row r="668" spans="1:8" hidden="1" x14ac:dyDescent="0.25">
      <c r="A668">
        <v>383</v>
      </c>
      <c r="B668" t="s">
        <v>686</v>
      </c>
      <c r="C668" t="s">
        <v>153</v>
      </c>
      <c r="D668" t="s">
        <v>154</v>
      </c>
      <c r="E668" s="1">
        <v>45986</v>
      </c>
      <c r="F668" t="s">
        <v>642</v>
      </c>
      <c r="G668">
        <v>72.84</v>
      </c>
      <c r="H668">
        <v>2025</v>
      </c>
    </row>
    <row r="669" spans="1:8" hidden="1" x14ac:dyDescent="0.25">
      <c r="A669">
        <v>384</v>
      </c>
      <c r="B669" t="s">
        <v>687</v>
      </c>
      <c r="C669" t="s">
        <v>9</v>
      </c>
      <c r="D669" t="s">
        <v>10</v>
      </c>
      <c r="E669" s="1">
        <v>45870</v>
      </c>
      <c r="F669" t="s">
        <v>642</v>
      </c>
      <c r="G669">
        <v>73.709999999999994</v>
      </c>
      <c r="H669">
        <v>2025</v>
      </c>
    </row>
    <row r="670" spans="1:8" hidden="1" x14ac:dyDescent="0.25">
      <c r="A670">
        <v>389</v>
      </c>
      <c r="B670" t="s">
        <v>688</v>
      </c>
      <c r="C670" t="s">
        <v>85</v>
      </c>
      <c r="D670" t="s">
        <v>86</v>
      </c>
      <c r="E670" s="1">
        <v>45932</v>
      </c>
      <c r="F670" t="s">
        <v>642</v>
      </c>
      <c r="G670">
        <v>93.69</v>
      </c>
      <c r="H670">
        <v>2025</v>
      </c>
    </row>
    <row r="671" spans="1:8" x14ac:dyDescent="0.25">
      <c r="A671">
        <v>390</v>
      </c>
      <c r="B671" t="s">
        <v>689</v>
      </c>
      <c r="C671" t="s">
        <v>156</v>
      </c>
      <c r="D671" t="s">
        <v>157</v>
      </c>
      <c r="E671" s="1">
        <v>45855</v>
      </c>
      <c r="F671" t="s">
        <v>642</v>
      </c>
      <c r="G671">
        <v>78.97</v>
      </c>
      <c r="H671">
        <v>2025</v>
      </c>
    </row>
    <row r="672" spans="1:8" x14ac:dyDescent="0.25">
      <c r="A672">
        <v>400</v>
      </c>
      <c r="B672" t="s">
        <v>690</v>
      </c>
      <c r="C672" t="s">
        <v>156</v>
      </c>
      <c r="D672" t="s">
        <v>157</v>
      </c>
      <c r="E672" s="1">
        <v>45912</v>
      </c>
      <c r="F672" t="s">
        <v>642</v>
      </c>
      <c r="G672">
        <v>99.51</v>
      </c>
      <c r="H672">
        <v>2025</v>
      </c>
    </row>
    <row r="673" spans="1:8" hidden="1" x14ac:dyDescent="0.25">
      <c r="A673">
        <v>437</v>
      </c>
      <c r="B673" t="s">
        <v>691</v>
      </c>
      <c r="C673" t="s">
        <v>9</v>
      </c>
      <c r="D673" t="s">
        <v>10</v>
      </c>
      <c r="E673" s="1">
        <v>45882</v>
      </c>
      <c r="F673" t="s">
        <v>642</v>
      </c>
      <c r="G673">
        <v>81.28</v>
      </c>
      <c r="H673">
        <v>2025</v>
      </c>
    </row>
    <row r="674" spans="1:8" x14ac:dyDescent="0.25">
      <c r="A674">
        <v>444</v>
      </c>
      <c r="B674" t="s">
        <v>692</v>
      </c>
      <c r="C674" t="s">
        <v>156</v>
      </c>
      <c r="D674" t="s">
        <v>157</v>
      </c>
      <c r="E674" s="1">
        <v>45801</v>
      </c>
      <c r="F674" t="s">
        <v>642</v>
      </c>
      <c r="G674">
        <v>84.12</v>
      </c>
      <c r="H674">
        <v>2025</v>
      </c>
    </row>
    <row r="675" spans="1:8" x14ac:dyDescent="0.25">
      <c r="A675">
        <v>455</v>
      </c>
      <c r="B675" t="s">
        <v>693</v>
      </c>
      <c r="C675" t="s">
        <v>156</v>
      </c>
      <c r="D675" t="s">
        <v>157</v>
      </c>
      <c r="E675" s="1">
        <v>45957</v>
      </c>
      <c r="F675" t="s">
        <v>642</v>
      </c>
      <c r="G675">
        <v>77.08</v>
      </c>
      <c r="H675">
        <v>2025</v>
      </c>
    </row>
    <row r="676" spans="1:8" x14ac:dyDescent="0.25">
      <c r="A676">
        <v>460</v>
      </c>
      <c r="B676" t="s">
        <v>694</v>
      </c>
      <c r="C676" t="s">
        <v>156</v>
      </c>
      <c r="D676" t="s">
        <v>157</v>
      </c>
      <c r="E676" s="1">
        <v>45836</v>
      </c>
      <c r="F676" t="s">
        <v>642</v>
      </c>
      <c r="G676">
        <v>85.46</v>
      </c>
      <c r="H676">
        <v>2025</v>
      </c>
    </row>
    <row r="677" spans="1:8" hidden="1" x14ac:dyDescent="0.25">
      <c r="A677">
        <v>462</v>
      </c>
      <c r="B677" t="s">
        <v>695</v>
      </c>
      <c r="C677" t="s">
        <v>9</v>
      </c>
      <c r="D677" t="s">
        <v>10</v>
      </c>
      <c r="E677" s="1">
        <v>45669</v>
      </c>
      <c r="F677" t="s">
        <v>642</v>
      </c>
      <c r="G677">
        <v>92.07</v>
      </c>
      <c r="H677">
        <v>2025</v>
      </c>
    </row>
    <row r="678" spans="1:8" hidden="1" x14ac:dyDescent="0.25">
      <c r="A678">
        <v>507</v>
      </c>
      <c r="B678" t="s">
        <v>696</v>
      </c>
      <c r="C678" t="s">
        <v>9</v>
      </c>
      <c r="D678" t="s">
        <v>10</v>
      </c>
      <c r="E678" s="1">
        <v>45950</v>
      </c>
      <c r="F678" t="s">
        <v>642</v>
      </c>
      <c r="G678">
        <v>94.8</v>
      </c>
      <c r="H678">
        <v>2025</v>
      </c>
    </row>
    <row r="679" spans="1:8" hidden="1" x14ac:dyDescent="0.25">
      <c r="A679">
        <v>521</v>
      </c>
      <c r="B679" t="s">
        <v>697</v>
      </c>
      <c r="C679" t="s">
        <v>85</v>
      </c>
      <c r="D679" t="s">
        <v>86</v>
      </c>
      <c r="E679" s="1">
        <v>45683</v>
      </c>
      <c r="F679" t="s">
        <v>642</v>
      </c>
      <c r="G679">
        <v>72.34</v>
      </c>
      <c r="H679">
        <v>2025</v>
      </c>
    </row>
    <row r="680" spans="1:8" x14ac:dyDescent="0.25">
      <c r="A680">
        <v>538</v>
      </c>
      <c r="B680" t="s">
        <v>698</v>
      </c>
      <c r="C680" t="s">
        <v>156</v>
      </c>
      <c r="D680" t="s">
        <v>157</v>
      </c>
      <c r="E680" s="1">
        <v>45805</v>
      </c>
      <c r="F680" t="s">
        <v>642</v>
      </c>
      <c r="G680">
        <v>87.35</v>
      </c>
      <c r="H680">
        <v>2025</v>
      </c>
    </row>
    <row r="681" spans="1:8" hidden="1" x14ac:dyDescent="0.25">
      <c r="A681">
        <v>539</v>
      </c>
      <c r="B681" t="s">
        <v>699</v>
      </c>
      <c r="C681" t="s">
        <v>85</v>
      </c>
      <c r="D681" t="s">
        <v>86</v>
      </c>
      <c r="E681" s="1">
        <v>45916</v>
      </c>
      <c r="F681" t="s">
        <v>642</v>
      </c>
      <c r="G681">
        <v>88.2</v>
      </c>
      <c r="H681">
        <v>2025</v>
      </c>
    </row>
    <row r="682" spans="1:8" hidden="1" x14ac:dyDescent="0.25">
      <c r="A682">
        <v>544</v>
      </c>
      <c r="B682" t="s">
        <v>700</v>
      </c>
      <c r="C682" t="s">
        <v>85</v>
      </c>
      <c r="D682" t="s">
        <v>86</v>
      </c>
      <c r="E682" s="1">
        <v>45801</v>
      </c>
      <c r="F682" t="s">
        <v>642</v>
      </c>
      <c r="G682">
        <v>72.510000000000005</v>
      </c>
      <c r="H682">
        <v>2025</v>
      </c>
    </row>
    <row r="683" spans="1:8" hidden="1" x14ac:dyDescent="0.25">
      <c r="A683">
        <v>545</v>
      </c>
      <c r="B683" t="s">
        <v>701</v>
      </c>
      <c r="C683" t="s">
        <v>85</v>
      </c>
      <c r="D683" t="s">
        <v>86</v>
      </c>
      <c r="E683" s="1">
        <v>45666</v>
      </c>
      <c r="F683" t="s">
        <v>642</v>
      </c>
      <c r="G683">
        <v>93.5</v>
      </c>
      <c r="H683">
        <v>2025</v>
      </c>
    </row>
    <row r="684" spans="1:8" x14ac:dyDescent="0.25">
      <c r="A684">
        <v>549</v>
      </c>
      <c r="B684" t="s">
        <v>702</v>
      </c>
      <c r="C684" t="s">
        <v>156</v>
      </c>
      <c r="D684" t="s">
        <v>157</v>
      </c>
      <c r="E684" s="1">
        <v>45886</v>
      </c>
      <c r="F684" t="s">
        <v>642</v>
      </c>
      <c r="G684">
        <v>96.4</v>
      </c>
      <c r="H684">
        <v>2025</v>
      </c>
    </row>
    <row r="685" spans="1:8" x14ac:dyDescent="0.25">
      <c r="A685">
        <v>556</v>
      </c>
      <c r="B685" t="s">
        <v>703</v>
      </c>
      <c r="C685" t="s">
        <v>156</v>
      </c>
      <c r="D685" t="s">
        <v>157</v>
      </c>
      <c r="E685" s="1">
        <v>45746</v>
      </c>
      <c r="F685" t="s">
        <v>642</v>
      </c>
      <c r="G685">
        <v>80.459999999999994</v>
      </c>
      <c r="H685">
        <v>2025</v>
      </c>
    </row>
    <row r="686" spans="1:8" x14ac:dyDescent="0.25">
      <c r="A686">
        <v>573</v>
      </c>
      <c r="B686" t="s">
        <v>704</v>
      </c>
      <c r="C686" t="s">
        <v>156</v>
      </c>
      <c r="D686" t="s">
        <v>157</v>
      </c>
      <c r="E686" s="1">
        <v>45852</v>
      </c>
      <c r="F686" t="s">
        <v>642</v>
      </c>
      <c r="G686">
        <v>80.05</v>
      </c>
      <c r="H686">
        <v>2025</v>
      </c>
    </row>
    <row r="687" spans="1:8" x14ac:dyDescent="0.25">
      <c r="A687">
        <v>576</v>
      </c>
      <c r="B687" t="s">
        <v>705</v>
      </c>
      <c r="C687" t="s">
        <v>156</v>
      </c>
      <c r="D687" t="s">
        <v>157</v>
      </c>
      <c r="E687" s="1">
        <v>45838</v>
      </c>
      <c r="F687" t="s">
        <v>642</v>
      </c>
      <c r="G687">
        <v>87.88</v>
      </c>
      <c r="H687">
        <v>2025</v>
      </c>
    </row>
    <row r="688" spans="1:8" hidden="1" x14ac:dyDescent="0.25">
      <c r="A688">
        <v>580</v>
      </c>
      <c r="B688" t="s">
        <v>706</v>
      </c>
      <c r="C688" t="s">
        <v>85</v>
      </c>
      <c r="D688" t="s">
        <v>86</v>
      </c>
      <c r="E688" s="1">
        <v>45992</v>
      </c>
      <c r="F688" t="s">
        <v>642</v>
      </c>
      <c r="G688">
        <v>85.14</v>
      </c>
      <c r="H688">
        <v>2025</v>
      </c>
    </row>
    <row r="689" spans="1:8" hidden="1" x14ac:dyDescent="0.25">
      <c r="A689">
        <v>592</v>
      </c>
      <c r="B689" t="s">
        <v>707</v>
      </c>
      <c r="C689" t="s">
        <v>85</v>
      </c>
      <c r="D689" t="s">
        <v>86</v>
      </c>
      <c r="E689" s="1">
        <v>45826</v>
      </c>
      <c r="F689" t="s">
        <v>642</v>
      </c>
      <c r="G689">
        <v>91.7</v>
      </c>
      <c r="H689">
        <v>2025</v>
      </c>
    </row>
    <row r="690" spans="1:8" hidden="1" x14ac:dyDescent="0.25">
      <c r="A690">
        <v>594</v>
      </c>
      <c r="B690" t="s">
        <v>708</v>
      </c>
      <c r="C690" t="s">
        <v>153</v>
      </c>
      <c r="D690" t="s">
        <v>154</v>
      </c>
      <c r="E690" s="1">
        <v>45771</v>
      </c>
      <c r="F690" t="s">
        <v>642</v>
      </c>
      <c r="G690">
        <v>87.76</v>
      </c>
      <c r="H690">
        <v>2025</v>
      </c>
    </row>
    <row r="691" spans="1:8" hidden="1" x14ac:dyDescent="0.25">
      <c r="A691">
        <v>614</v>
      </c>
      <c r="B691" t="s">
        <v>709</v>
      </c>
      <c r="C691" t="s">
        <v>153</v>
      </c>
      <c r="D691" t="s">
        <v>154</v>
      </c>
      <c r="E691" s="1">
        <v>45834</v>
      </c>
      <c r="F691" t="s">
        <v>642</v>
      </c>
      <c r="G691">
        <v>79.88</v>
      </c>
      <c r="H691">
        <v>2025</v>
      </c>
    </row>
    <row r="692" spans="1:8" hidden="1" x14ac:dyDescent="0.25">
      <c r="A692">
        <v>626</v>
      </c>
      <c r="B692" t="s">
        <v>710</v>
      </c>
      <c r="C692" t="s">
        <v>85</v>
      </c>
      <c r="D692" t="s">
        <v>86</v>
      </c>
      <c r="E692" s="1">
        <v>45995</v>
      </c>
      <c r="F692" t="s">
        <v>642</v>
      </c>
      <c r="G692">
        <v>88.6</v>
      </c>
      <c r="H692">
        <v>2025</v>
      </c>
    </row>
    <row r="693" spans="1:8" hidden="1" x14ac:dyDescent="0.25">
      <c r="A693">
        <v>641</v>
      </c>
      <c r="B693" t="s">
        <v>711</v>
      </c>
      <c r="C693" t="s">
        <v>9</v>
      </c>
      <c r="D693" t="s">
        <v>10</v>
      </c>
      <c r="E693" s="1">
        <v>45813</v>
      </c>
      <c r="F693" t="s">
        <v>642</v>
      </c>
      <c r="G693">
        <v>78.47</v>
      </c>
      <c r="H693">
        <v>2025</v>
      </c>
    </row>
    <row r="694" spans="1:8" x14ac:dyDescent="0.25">
      <c r="A694">
        <v>645</v>
      </c>
      <c r="B694" t="s">
        <v>712</v>
      </c>
      <c r="C694" t="s">
        <v>156</v>
      </c>
      <c r="D694" t="s">
        <v>157</v>
      </c>
      <c r="E694" s="1">
        <v>45924</v>
      </c>
      <c r="F694" t="s">
        <v>642</v>
      </c>
      <c r="G694">
        <v>87.84</v>
      </c>
      <c r="H694">
        <v>2025</v>
      </c>
    </row>
    <row r="695" spans="1:8" hidden="1" x14ac:dyDescent="0.25">
      <c r="A695">
        <v>651</v>
      </c>
      <c r="B695" t="s">
        <v>713</v>
      </c>
      <c r="C695" t="s">
        <v>153</v>
      </c>
      <c r="D695" t="s">
        <v>154</v>
      </c>
      <c r="E695" s="1">
        <v>45920</v>
      </c>
      <c r="F695" t="s">
        <v>642</v>
      </c>
      <c r="G695">
        <v>77.91</v>
      </c>
      <c r="H695">
        <v>2025</v>
      </c>
    </row>
    <row r="696" spans="1:8" x14ac:dyDescent="0.25">
      <c r="A696">
        <v>653</v>
      </c>
      <c r="B696" t="s">
        <v>714</v>
      </c>
      <c r="C696" t="s">
        <v>156</v>
      </c>
      <c r="D696" t="s">
        <v>157</v>
      </c>
      <c r="E696" s="1">
        <v>45880</v>
      </c>
      <c r="F696" t="s">
        <v>642</v>
      </c>
      <c r="G696">
        <v>89.44</v>
      </c>
      <c r="H696">
        <v>2025</v>
      </c>
    </row>
    <row r="697" spans="1:8" hidden="1" x14ac:dyDescent="0.25">
      <c r="A697">
        <v>655</v>
      </c>
      <c r="B697" t="s">
        <v>715</v>
      </c>
      <c r="C697" t="s">
        <v>153</v>
      </c>
      <c r="D697" t="s">
        <v>154</v>
      </c>
      <c r="E697" s="1">
        <v>45780</v>
      </c>
      <c r="F697" t="s">
        <v>642</v>
      </c>
      <c r="G697">
        <v>96.38</v>
      </c>
      <c r="H697">
        <v>2025</v>
      </c>
    </row>
    <row r="698" spans="1:8" hidden="1" x14ac:dyDescent="0.25">
      <c r="A698">
        <v>669</v>
      </c>
      <c r="B698" t="s">
        <v>716</v>
      </c>
      <c r="C698" t="s">
        <v>85</v>
      </c>
      <c r="D698" t="s">
        <v>86</v>
      </c>
      <c r="E698" s="1">
        <v>45786</v>
      </c>
      <c r="F698" t="s">
        <v>642</v>
      </c>
      <c r="G698">
        <v>81.03</v>
      </c>
      <c r="H698">
        <v>2025</v>
      </c>
    </row>
    <row r="699" spans="1:8" hidden="1" x14ac:dyDescent="0.25">
      <c r="A699">
        <v>689</v>
      </c>
      <c r="B699" t="s">
        <v>717</v>
      </c>
      <c r="C699" t="s">
        <v>9</v>
      </c>
      <c r="D699" t="s">
        <v>10</v>
      </c>
      <c r="E699" s="1">
        <v>45842</v>
      </c>
      <c r="F699" t="s">
        <v>642</v>
      </c>
      <c r="G699">
        <v>72.62</v>
      </c>
      <c r="H699">
        <v>2025</v>
      </c>
    </row>
    <row r="700" spans="1:8" hidden="1" x14ac:dyDescent="0.25">
      <c r="A700">
        <v>698</v>
      </c>
      <c r="B700" t="s">
        <v>718</v>
      </c>
      <c r="C700" t="s">
        <v>9</v>
      </c>
      <c r="D700" t="s">
        <v>10</v>
      </c>
      <c r="E700" s="1">
        <v>45679</v>
      </c>
      <c r="F700" t="s">
        <v>642</v>
      </c>
      <c r="G700">
        <v>90.92</v>
      </c>
      <c r="H700">
        <v>2025</v>
      </c>
    </row>
    <row r="701" spans="1:8" hidden="1" x14ac:dyDescent="0.25">
      <c r="A701">
        <v>712</v>
      </c>
      <c r="B701" t="s">
        <v>719</v>
      </c>
      <c r="C701" t="s">
        <v>153</v>
      </c>
      <c r="D701" t="s">
        <v>154</v>
      </c>
      <c r="E701" s="1">
        <v>45699</v>
      </c>
      <c r="F701" t="s">
        <v>642</v>
      </c>
      <c r="G701">
        <v>74.790000000000006</v>
      </c>
      <c r="H701">
        <v>2025</v>
      </c>
    </row>
    <row r="702" spans="1:8" hidden="1" x14ac:dyDescent="0.25">
      <c r="A702">
        <v>740</v>
      </c>
      <c r="B702" t="s">
        <v>720</v>
      </c>
      <c r="C702" t="s">
        <v>153</v>
      </c>
      <c r="D702" t="s">
        <v>154</v>
      </c>
      <c r="E702" s="1">
        <v>46019</v>
      </c>
      <c r="F702" t="s">
        <v>642</v>
      </c>
      <c r="G702">
        <v>93.44</v>
      </c>
      <c r="H702">
        <v>2025</v>
      </c>
    </row>
    <row r="703" spans="1:8" x14ac:dyDescent="0.25">
      <c r="A703">
        <v>747</v>
      </c>
      <c r="B703" t="s">
        <v>721</v>
      </c>
      <c r="C703" t="s">
        <v>156</v>
      </c>
      <c r="D703" t="s">
        <v>157</v>
      </c>
      <c r="E703" s="1">
        <v>45962</v>
      </c>
      <c r="F703" t="s">
        <v>642</v>
      </c>
      <c r="G703">
        <v>76.78</v>
      </c>
      <c r="H703">
        <v>2025</v>
      </c>
    </row>
    <row r="704" spans="1:8" hidden="1" x14ac:dyDescent="0.25">
      <c r="A704">
        <v>752</v>
      </c>
      <c r="B704" t="s">
        <v>722</v>
      </c>
      <c r="C704" t="s">
        <v>85</v>
      </c>
      <c r="D704" t="s">
        <v>86</v>
      </c>
      <c r="E704" s="1">
        <v>45992</v>
      </c>
      <c r="F704" t="s">
        <v>642</v>
      </c>
      <c r="G704">
        <v>99.82</v>
      </c>
      <c r="H704">
        <v>2025</v>
      </c>
    </row>
    <row r="705" spans="1:8" hidden="1" x14ac:dyDescent="0.25">
      <c r="A705">
        <v>760</v>
      </c>
      <c r="B705" t="s">
        <v>723</v>
      </c>
      <c r="C705" t="s">
        <v>85</v>
      </c>
      <c r="D705" t="s">
        <v>86</v>
      </c>
      <c r="E705" s="1">
        <v>45768</v>
      </c>
      <c r="F705" t="s">
        <v>642</v>
      </c>
      <c r="G705">
        <v>95.21</v>
      </c>
      <c r="H705">
        <v>2025</v>
      </c>
    </row>
    <row r="706" spans="1:8" hidden="1" x14ac:dyDescent="0.25">
      <c r="A706">
        <v>763</v>
      </c>
      <c r="B706" t="s">
        <v>724</v>
      </c>
      <c r="C706" t="s">
        <v>153</v>
      </c>
      <c r="D706" t="s">
        <v>154</v>
      </c>
      <c r="E706" s="1">
        <v>45680</v>
      </c>
      <c r="F706" t="s">
        <v>642</v>
      </c>
      <c r="G706">
        <v>76.069999999999993</v>
      </c>
      <c r="H706">
        <v>2025</v>
      </c>
    </row>
    <row r="707" spans="1:8" x14ac:dyDescent="0.25">
      <c r="A707">
        <v>767</v>
      </c>
      <c r="B707" t="s">
        <v>725</v>
      </c>
      <c r="C707" t="s">
        <v>156</v>
      </c>
      <c r="D707" t="s">
        <v>157</v>
      </c>
      <c r="E707" s="1">
        <v>45779</v>
      </c>
      <c r="F707" t="s">
        <v>642</v>
      </c>
      <c r="G707">
        <v>76.680000000000007</v>
      </c>
      <c r="H707">
        <v>2025</v>
      </c>
    </row>
    <row r="708" spans="1:8" x14ac:dyDescent="0.25">
      <c r="A708">
        <v>781</v>
      </c>
      <c r="B708" t="s">
        <v>726</v>
      </c>
      <c r="C708" t="s">
        <v>156</v>
      </c>
      <c r="D708" t="s">
        <v>157</v>
      </c>
      <c r="E708" s="1">
        <v>45677</v>
      </c>
      <c r="F708" t="s">
        <v>642</v>
      </c>
      <c r="G708">
        <v>87.58</v>
      </c>
      <c r="H708">
        <v>2025</v>
      </c>
    </row>
    <row r="709" spans="1:8" x14ac:dyDescent="0.25">
      <c r="A709">
        <v>795</v>
      </c>
      <c r="B709" t="s">
        <v>727</v>
      </c>
      <c r="C709" t="s">
        <v>156</v>
      </c>
      <c r="D709" t="s">
        <v>157</v>
      </c>
      <c r="E709" s="1">
        <v>45867</v>
      </c>
      <c r="F709" t="s">
        <v>642</v>
      </c>
      <c r="G709">
        <v>77.14</v>
      </c>
      <c r="H709">
        <v>2025</v>
      </c>
    </row>
    <row r="710" spans="1:8" hidden="1" x14ac:dyDescent="0.25">
      <c r="A710">
        <v>817</v>
      </c>
      <c r="B710" t="s">
        <v>728</v>
      </c>
      <c r="C710" t="s">
        <v>9</v>
      </c>
      <c r="D710" t="s">
        <v>10</v>
      </c>
      <c r="E710" s="1">
        <v>45903</v>
      </c>
      <c r="F710" t="s">
        <v>642</v>
      </c>
      <c r="G710">
        <v>80.41</v>
      </c>
      <c r="H710">
        <v>2025</v>
      </c>
    </row>
    <row r="711" spans="1:8" hidden="1" x14ac:dyDescent="0.25">
      <c r="A711">
        <v>822</v>
      </c>
      <c r="B711" t="s">
        <v>729</v>
      </c>
      <c r="C711" t="s">
        <v>85</v>
      </c>
      <c r="D711" t="s">
        <v>86</v>
      </c>
      <c r="E711" s="1">
        <v>45981</v>
      </c>
      <c r="F711" t="s">
        <v>642</v>
      </c>
      <c r="G711">
        <v>86.33</v>
      </c>
      <c r="H711">
        <v>2025</v>
      </c>
    </row>
    <row r="712" spans="1:8" hidden="1" x14ac:dyDescent="0.25">
      <c r="A712">
        <v>832</v>
      </c>
      <c r="B712" t="s">
        <v>730</v>
      </c>
      <c r="C712" t="s">
        <v>153</v>
      </c>
      <c r="D712" t="s">
        <v>154</v>
      </c>
      <c r="E712" s="1">
        <v>45658</v>
      </c>
      <c r="F712" t="s">
        <v>642</v>
      </c>
      <c r="G712">
        <v>74.05</v>
      </c>
      <c r="H712">
        <v>2025</v>
      </c>
    </row>
    <row r="713" spans="1:8" hidden="1" x14ac:dyDescent="0.25">
      <c r="A713">
        <v>837</v>
      </c>
      <c r="B713" t="s">
        <v>731</v>
      </c>
      <c r="C713" t="s">
        <v>9</v>
      </c>
      <c r="D713" t="s">
        <v>10</v>
      </c>
      <c r="E713" s="1">
        <v>45987</v>
      </c>
      <c r="F713" t="s">
        <v>642</v>
      </c>
      <c r="G713">
        <v>95.78</v>
      </c>
      <c r="H713">
        <v>2025</v>
      </c>
    </row>
    <row r="714" spans="1:8" hidden="1" x14ac:dyDescent="0.25">
      <c r="A714">
        <v>839</v>
      </c>
      <c r="B714" t="s">
        <v>732</v>
      </c>
      <c r="C714" t="s">
        <v>153</v>
      </c>
      <c r="D714" t="s">
        <v>154</v>
      </c>
      <c r="E714" s="1">
        <v>45955</v>
      </c>
      <c r="F714" t="s">
        <v>642</v>
      </c>
      <c r="G714">
        <v>88.19</v>
      </c>
      <c r="H714">
        <v>2025</v>
      </c>
    </row>
    <row r="715" spans="1:8" hidden="1" x14ac:dyDescent="0.25">
      <c r="A715">
        <v>847</v>
      </c>
      <c r="B715" t="s">
        <v>733</v>
      </c>
      <c r="C715" t="s">
        <v>9</v>
      </c>
      <c r="D715" t="s">
        <v>10</v>
      </c>
      <c r="E715" s="1">
        <v>46022</v>
      </c>
      <c r="F715" t="s">
        <v>642</v>
      </c>
      <c r="G715">
        <v>90.59</v>
      </c>
      <c r="H715">
        <v>2025</v>
      </c>
    </row>
    <row r="716" spans="1:8" hidden="1" x14ac:dyDescent="0.25">
      <c r="A716">
        <v>856</v>
      </c>
      <c r="B716" t="s">
        <v>734</v>
      </c>
      <c r="C716" t="s">
        <v>85</v>
      </c>
      <c r="D716" t="s">
        <v>86</v>
      </c>
      <c r="E716" s="1">
        <v>45941</v>
      </c>
      <c r="F716" t="s">
        <v>642</v>
      </c>
      <c r="G716">
        <v>72.36</v>
      </c>
      <c r="H716">
        <v>2025</v>
      </c>
    </row>
    <row r="717" spans="1:8" hidden="1" x14ac:dyDescent="0.25">
      <c r="A717">
        <v>866</v>
      </c>
      <c r="B717" t="s">
        <v>735</v>
      </c>
      <c r="C717" t="s">
        <v>85</v>
      </c>
      <c r="D717" t="s">
        <v>86</v>
      </c>
      <c r="E717" s="1">
        <v>45928</v>
      </c>
      <c r="F717" t="s">
        <v>642</v>
      </c>
      <c r="G717">
        <v>72.709999999999994</v>
      </c>
      <c r="H717">
        <v>2025</v>
      </c>
    </row>
    <row r="718" spans="1:8" hidden="1" x14ac:dyDescent="0.25">
      <c r="A718">
        <v>875</v>
      </c>
      <c r="B718" t="s">
        <v>736</v>
      </c>
      <c r="C718" t="s">
        <v>85</v>
      </c>
      <c r="D718" t="s">
        <v>86</v>
      </c>
      <c r="E718" s="1">
        <v>45669</v>
      </c>
      <c r="F718" t="s">
        <v>642</v>
      </c>
      <c r="G718">
        <v>84.45</v>
      </c>
      <c r="H718">
        <v>2025</v>
      </c>
    </row>
    <row r="719" spans="1:8" x14ac:dyDescent="0.25">
      <c r="A719">
        <v>885</v>
      </c>
      <c r="B719" t="s">
        <v>737</v>
      </c>
      <c r="C719" t="s">
        <v>156</v>
      </c>
      <c r="D719" t="s">
        <v>157</v>
      </c>
      <c r="E719" s="1">
        <v>45973</v>
      </c>
      <c r="F719" t="s">
        <v>642</v>
      </c>
      <c r="G719">
        <v>79.06</v>
      </c>
      <c r="H719">
        <v>2025</v>
      </c>
    </row>
    <row r="720" spans="1:8" hidden="1" x14ac:dyDescent="0.25">
      <c r="A720">
        <v>901</v>
      </c>
      <c r="B720" t="s">
        <v>738</v>
      </c>
      <c r="C720" t="s">
        <v>9</v>
      </c>
      <c r="D720" t="s">
        <v>10</v>
      </c>
      <c r="E720" s="1">
        <v>45842</v>
      </c>
      <c r="F720" t="s">
        <v>642</v>
      </c>
      <c r="G720">
        <v>91.18</v>
      </c>
      <c r="H720">
        <v>2025</v>
      </c>
    </row>
    <row r="721" spans="1:8" hidden="1" x14ac:dyDescent="0.25">
      <c r="A721">
        <v>904</v>
      </c>
      <c r="B721" t="s">
        <v>739</v>
      </c>
      <c r="C721" t="s">
        <v>9</v>
      </c>
      <c r="D721" t="s">
        <v>10</v>
      </c>
      <c r="E721" s="1">
        <v>46010</v>
      </c>
      <c r="F721" t="s">
        <v>642</v>
      </c>
      <c r="G721">
        <v>88.29</v>
      </c>
      <c r="H721">
        <v>2025</v>
      </c>
    </row>
    <row r="722" spans="1:8" hidden="1" x14ac:dyDescent="0.25">
      <c r="A722">
        <v>926</v>
      </c>
      <c r="B722" t="s">
        <v>740</v>
      </c>
      <c r="C722" t="s">
        <v>9</v>
      </c>
      <c r="D722" t="s">
        <v>10</v>
      </c>
      <c r="E722" s="1">
        <v>45837</v>
      </c>
      <c r="F722" t="s">
        <v>642</v>
      </c>
      <c r="G722">
        <v>76.739999999999995</v>
      </c>
      <c r="H722">
        <v>2025</v>
      </c>
    </row>
    <row r="723" spans="1:8" hidden="1" x14ac:dyDescent="0.25">
      <c r="A723">
        <v>949</v>
      </c>
      <c r="B723" t="s">
        <v>741</v>
      </c>
      <c r="C723" t="s">
        <v>153</v>
      </c>
      <c r="D723" t="s">
        <v>154</v>
      </c>
      <c r="E723" s="1">
        <v>45904</v>
      </c>
      <c r="F723" t="s">
        <v>642</v>
      </c>
      <c r="G723">
        <v>76.06</v>
      </c>
      <c r="H723">
        <v>2025</v>
      </c>
    </row>
    <row r="724" spans="1:8" x14ac:dyDescent="0.25">
      <c r="A724">
        <v>950</v>
      </c>
      <c r="B724" t="s">
        <v>742</v>
      </c>
      <c r="C724" t="s">
        <v>156</v>
      </c>
      <c r="D724" t="s">
        <v>157</v>
      </c>
      <c r="E724" s="1">
        <v>45833</v>
      </c>
      <c r="F724" t="s">
        <v>642</v>
      </c>
      <c r="G724">
        <v>75.010000000000005</v>
      </c>
      <c r="H724">
        <v>2025</v>
      </c>
    </row>
    <row r="725" spans="1:8" hidden="1" x14ac:dyDescent="0.25">
      <c r="A725">
        <v>954</v>
      </c>
      <c r="B725" t="s">
        <v>743</v>
      </c>
      <c r="C725" t="s">
        <v>9</v>
      </c>
      <c r="D725" t="s">
        <v>10</v>
      </c>
      <c r="E725" s="1">
        <v>45879</v>
      </c>
      <c r="F725" t="s">
        <v>642</v>
      </c>
      <c r="G725">
        <v>99.89</v>
      </c>
      <c r="H725">
        <v>2025</v>
      </c>
    </row>
    <row r="726" spans="1:8" hidden="1" x14ac:dyDescent="0.25">
      <c r="A726">
        <v>966</v>
      </c>
      <c r="B726" t="s">
        <v>744</v>
      </c>
      <c r="C726" t="s">
        <v>9</v>
      </c>
      <c r="D726" t="s">
        <v>10</v>
      </c>
      <c r="E726" s="1">
        <v>45956</v>
      </c>
      <c r="F726" t="s">
        <v>642</v>
      </c>
      <c r="G726">
        <v>93.67</v>
      </c>
      <c r="H726">
        <v>2025</v>
      </c>
    </row>
    <row r="727" spans="1:8" hidden="1" x14ac:dyDescent="0.25">
      <c r="A727">
        <v>990</v>
      </c>
      <c r="B727" t="s">
        <v>745</v>
      </c>
      <c r="C727" t="s">
        <v>9</v>
      </c>
      <c r="D727" t="s">
        <v>10</v>
      </c>
      <c r="E727" s="1">
        <v>45917</v>
      </c>
      <c r="F727" t="s">
        <v>642</v>
      </c>
      <c r="G727">
        <v>94.52</v>
      </c>
      <c r="H727">
        <v>2025</v>
      </c>
    </row>
    <row r="728" spans="1:8" x14ac:dyDescent="0.25">
      <c r="A728">
        <v>996</v>
      </c>
      <c r="B728" t="s">
        <v>746</v>
      </c>
      <c r="C728" t="s">
        <v>156</v>
      </c>
      <c r="D728" t="s">
        <v>157</v>
      </c>
      <c r="E728" s="1">
        <v>45778</v>
      </c>
      <c r="F728" t="s">
        <v>642</v>
      </c>
      <c r="G728">
        <v>72.400000000000006</v>
      </c>
      <c r="H728">
        <v>2025</v>
      </c>
    </row>
    <row r="729" spans="1:8" hidden="1" x14ac:dyDescent="0.25">
      <c r="A729">
        <v>999</v>
      </c>
      <c r="B729" t="s">
        <v>747</v>
      </c>
      <c r="C729" t="s">
        <v>85</v>
      </c>
      <c r="D729" t="s">
        <v>86</v>
      </c>
      <c r="E729" s="1">
        <v>45983</v>
      </c>
      <c r="F729" t="s">
        <v>642</v>
      </c>
      <c r="G729">
        <v>92.72</v>
      </c>
      <c r="H729">
        <v>2025</v>
      </c>
    </row>
    <row r="730" spans="1:8" hidden="1" x14ac:dyDescent="0.25">
      <c r="A730">
        <v>13</v>
      </c>
      <c r="B730" t="s">
        <v>748</v>
      </c>
      <c r="C730" t="s">
        <v>153</v>
      </c>
      <c r="D730" t="s">
        <v>154</v>
      </c>
      <c r="E730" s="1">
        <v>46040</v>
      </c>
      <c r="F730" t="s">
        <v>471</v>
      </c>
      <c r="G730">
        <v>88.17</v>
      </c>
      <c r="H730">
        <v>2026</v>
      </c>
    </row>
    <row r="731" spans="1:8" hidden="1" x14ac:dyDescent="0.25">
      <c r="A731">
        <v>29</v>
      </c>
      <c r="B731" t="s">
        <v>749</v>
      </c>
      <c r="C731" t="s">
        <v>153</v>
      </c>
      <c r="D731" t="s">
        <v>154</v>
      </c>
      <c r="E731" s="1">
        <v>46027</v>
      </c>
      <c r="F731" t="s">
        <v>471</v>
      </c>
      <c r="G731">
        <v>77.52</v>
      </c>
      <c r="H731">
        <v>2026</v>
      </c>
    </row>
    <row r="732" spans="1:8" hidden="1" x14ac:dyDescent="0.25">
      <c r="A732">
        <v>40</v>
      </c>
      <c r="B732" t="s">
        <v>750</v>
      </c>
      <c r="C732" t="s">
        <v>153</v>
      </c>
      <c r="D732" t="s">
        <v>154</v>
      </c>
      <c r="E732" s="1">
        <v>46075</v>
      </c>
      <c r="F732" t="s">
        <v>642</v>
      </c>
      <c r="G732">
        <v>81.99</v>
      </c>
      <c r="H732">
        <v>2026</v>
      </c>
    </row>
    <row r="733" spans="1:8" hidden="1" x14ac:dyDescent="0.25">
      <c r="A733">
        <v>49</v>
      </c>
      <c r="B733" t="s">
        <v>751</v>
      </c>
      <c r="C733" t="s">
        <v>153</v>
      </c>
      <c r="D733" t="s">
        <v>154</v>
      </c>
      <c r="E733" s="1">
        <v>46123</v>
      </c>
      <c r="F733" t="s">
        <v>642</v>
      </c>
      <c r="G733">
        <v>99.31</v>
      </c>
      <c r="H733">
        <v>2026</v>
      </c>
    </row>
    <row r="734" spans="1:8" x14ac:dyDescent="0.25">
      <c r="A734">
        <v>53</v>
      </c>
      <c r="B734" t="s">
        <v>752</v>
      </c>
      <c r="C734" t="s">
        <v>156</v>
      </c>
      <c r="D734" t="s">
        <v>157</v>
      </c>
      <c r="E734" s="1">
        <v>46061</v>
      </c>
      <c r="F734" t="s">
        <v>642</v>
      </c>
      <c r="G734">
        <v>85.49</v>
      </c>
      <c r="H734">
        <v>2026</v>
      </c>
    </row>
    <row r="735" spans="1:8" hidden="1" x14ac:dyDescent="0.25">
      <c r="A735">
        <v>65</v>
      </c>
      <c r="B735" t="s">
        <v>753</v>
      </c>
      <c r="C735" t="s">
        <v>85</v>
      </c>
      <c r="D735" t="s">
        <v>86</v>
      </c>
      <c r="E735" s="1">
        <v>46027</v>
      </c>
      <c r="F735" t="s">
        <v>642</v>
      </c>
      <c r="G735">
        <v>71.989999999999995</v>
      </c>
      <c r="H735">
        <v>2026</v>
      </c>
    </row>
    <row r="736" spans="1:8" hidden="1" x14ac:dyDescent="0.25">
      <c r="A736">
        <v>67</v>
      </c>
      <c r="B736" t="s">
        <v>754</v>
      </c>
      <c r="C736" t="s">
        <v>153</v>
      </c>
      <c r="D736" t="s">
        <v>154</v>
      </c>
      <c r="E736" s="1">
        <v>46038</v>
      </c>
      <c r="F736" t="s">
        <v>642</v>
      </c>
      <c r="G736">
        <v>92.45</v>
      </c>
      <c r="H736">
        <v>2026</v>
      </c>
    </row>
    <row r="737" spans="1:8" hidden="1" x14ac:dyDescent="0.25">
      <c r="A737">
        <v>69</v>
      </c>
      <c r="B737" t="s">
        <v>755</v>
      </c>
      <c r="C737" t="s">
        <v>153</v>
      </c>
      <c r="D737" t="s">
        <v>154</v>
      </c>
      <c r="E737" s="1">
        <v>46131</v>
      </c>
      <c r="F737" t="s">
        <v>642</v>
      </c>
      <c r="G737">
        <v>76.05</v>
      </c>
      <c r="H737">
        <v>2026</v>
      </c>
    </row>
    <row r="738" spans="1:8" hidden="1" x14ac:dyDescent="0.25">
      <c r="A738">
        <v>73</v>
      </c>
      <c r="B738" t="s">
        <v>756</v>
      </c>
      <c r="C738" t="s">
        <v>9</v>
      </c>
      <c r="D738" t="s">
        <v>10</v>
      </c>
      <c r="E738" s="1">
        <v>46106</v>
      </c>
      <c r="F738" t="s">
        <v>471</v>
      </c>
      <c r="G738">
        <v>92.11</v>
      </c>
      <c r="H738">
        <v>2026</v>
      </c>
    </row>
    <row r="739" spans="1:8" hidden="1" x14ac:dyDescent="0.25">
      <c r="A739">
        <v>100</v>
      </c>
      <c r="B739" t="s">
        <v>757</v>
      </c>
      <c r="C739" t="s">
        <v>153</v>
      </c>
      <c r="D739" t="s">
        <v>154</v>
      </c>
      <c r="E739" s="1">
        <v>46087</v>
      </c>
      <c r="F739" t="s">
        <v>642</v>
      </c>
      <c r="G739">
        <v>88.82</v>
      </c>
      <c r="H739">
        <v>2026</v>
      </c>
    </row>
    <row r="740" spans="1:8" hidden="1" x14ac:dyDescent="0.25">
      <c r="A740">
        <v>105</v>
      </c>
      <c r="B740" t="s">
        <v>758</v>
      </c>
      <c r="C740" t="s">
        <v>85</v>
      </c>
      <c r="D740" t="s">
        <v>86</v>
      </c>
      <c r="E740" s="1">
        <v>46106</v>
      </c>
      <c r="F740" t="s">
        <v>642</v>
      </c>
      <c r="G740">
        <v>73.44</v>
      </c>
      <c r="H740">
        <v>2026</v>
      </c>
    </row>
    <row r="741" spans="1:8" hidden="1" x14ac:dyDescent="0.25">
      <c r="A741">
        <v>109</v>
      </c>
      <c r="B741" t="s">
        <v>759</v>
      </c>
      <c r="C741" t="s">
        <v>9</v>
      </c>
      <c r="D741" t="s">
        <v>10</v>
      </c>
      <c r="E741" s="1">
        <v>46122</v>
      </c>
      <c r="F741" t="s">
        <v>471</v>
      </c>
      <c r="G741">
        <v>73.63</v>
      </c>
      <c r="H741">
        <v>2026</v>
      </c>
    </row>
    <row r="742" spans="1:8" hidden="1" x14ac:dyDescent="0.25">
      <c r="A742">
        <v>110</v>
      </c>
      <c r="B742" t="s">
        <v>760</v>
      </c>
      <c r="C742" t="s">
        <v>85</v>
      </c>
      <c r="D742" t="s">
        <v>86</v>
      </c>
      <c r="E742" s="1">
        <v>46134</v>
      </c>
      <c r="F742" t="s">
        <v>642</v>
      </c>
      <c r="G742">
        <v>96.93</v>
      </c>
      <c r="H742">
        <v>2026</v>
      </c>
    </row>
    <row r="743" spans="1:8" x14ac:dyDescent="0.25">
      <c r="A743">
        <v>112</v>
      </c>
      <c r="B743" t="s">
        <v>761</v>
      </c>
      <c r="C743" t="s">
        <v>156</v>
      </c>
      <c r="D743" t="s">
        <v>157</v>
      </c>
      <c r="E743" s="1">
        <v>46029</v>
      </c>
      <c r="F743" t="s">
        <v>471</v>
      </c>
      <c r="G743">
        <v>89.22</v>
      </c>
      <c r="H743">
        <v>2026</v>
      </c>
    </row>
    <row r="744" spans="1:8" hidden="1" x14ac:dyDescent="0.25">
      <c r="A744">
        <v>121</v>
      </c>
      <c r="B744" t="s">
        <v>762</v>
      </c>
      <c r="C744" t="s">
        <v>85</v>
      </c>
      <c r="D744" t="s">
        <v>86</v>
      </c>
      <c r="E744" s="1">
        <v>46046</v>
      </c>
      <c r="F744" t="s">
        <v>471</v>
      </c>
      <c r="G744">
        <v>99.44</v>
      </c>
      <c r="H744">
        <v>2026</v>
      </c>
    </row>
    <row r="745" spans="1:8" hidden="1" x14ac:dyDescent="0.25">
      <c r="A745">
        <v>135</v>
      </c>
      <c r="B745" t="s">
        <v>763</v>
      </c>
      <c r="C745" t="s">
        <v>9</v>
      </c>
      <c r="D745" t="s">
        <v>10</v>
      </c>
      <c r="E745" s="1">
        <v>46045</v>
      </c>
      <c r="F745" t="s">
        <v>471</v>
      </c>
      <c r="G745">
        <v>91.23</v>
      </c>
      <c r="H745">
        <v>2026</v>
      </c>
    </row>
    <row r="746" spans="1:8" x14ac:dyDescent="0.25">
      <c r="A746">
        <v>151</v>
      </c>
      <c r="B746" t="s">
        <v>764</v>
      </c>
      <c r="C746" t="s">
        <v>156</v>
      </c>
      <c r="D746" t="s">
        <v>157</v>
      </c>
      <c r="E746" s="1">
        <v>46035</v>
      </c>
      <c r="F746" t="s">
        <v>471</v>
      </c>
      <c r="G746">
        <v>79.459999999999994</v>
      </c>
      <c r="H746">
        <v>2026</v>
      </c>
    </row>
    <row r="747" spans="1:8" hidden="1" x14ac:dyDescent="0.25">
      <c r="A747">
        <v>170</v>
      </c>
      <c r="B747" t="s">
        <v>765</v>
      </c>
      <c r="C747" t="s">
        <v>9</v>
      </c>
      <c r="D747" t="s">
        <v>10</v>
      </c>
      <c r="E747" s="1">
        <v>46087</v>
      </c>
      <c r="F747" t="s">
        <v>471</v>
      </c>
      <c r="G747">
        <v>90.38</v>
      </c>
      <c r="H747">
        <v>2026</v>
      </c>
    </row>
    <row r="748" spans="1:8" hidden="1" x14ac:dyDescent="0.25">
      <c r="A748">
        <v>181</v>
      </c>
      <c r="B748" t="s">
        <v>766</v>
      </c>
      <c r="C748" t="s">
        <v>9</v>
      </c>
      <c r="D748" t="s">
        <v>10</v>
      </c>
      <c r="E748" s="1">
        <v>46054</v>
      </c>
      <c r="F748" t="s">
        <v>471</v>
      </c>
      <c r="G748">
        <v>81.37</v>
      </c>
      <c r="H748">
        <v>2026</v>
      </c>
    </row>
    <row r="749" spans="1:8" hidden="1" x14ac:dyDescent="0.25">
      <c r="A749">
        <v>191</v>
      </c>
      <c r="B749" t="s">
        <v>767</v>
      </c>
      <c r="C749" t="s">
        <v>85</v>
      </c>
      <c r="D749" t="s">
        <v>86</v>
      </c>
      <c r="E749" s="1">
        <v>46048</v>
      </c>
      <c r="F749" t="s">
        <v>471</v>
      </c>
      <c r="G749">
        <v>83.59</v>
      </c>
      <c r="H749">
        <v>2026</v>
      </c>
    </row>
    <row r="750" spans="1:8" x14ac:dyDescent="0.25">
      <c r="A750">
        <v>195</v>
      </c>
      <c r="B750" t="s">
        <v>768</v>
      </c>
      <c r="C750" t="s">
        <v>156</v>
      </c>
      <c r="D750" t="s">
        <v>157</v>
      </c>
      <c r="E750" s="1">
        <v>46028</v>
      </c>
      <c r="F750" t="s">
        <v>471</v>
      </c>
      <c r="G750">
        <v>83.53</v>
      </c>
      <c r="H750">
        <v>2026</v>
      </c>
    </row>
    <row r="751" spans="1:8" hidden="1" x14ac:dyDescent="0.25">
      <c r="A751">
        <v>199</v>
      </c>
      <c r="B751" t="s">
        <v>769</v>
      </c>
      <c r="C751" t="s">
        <v>153</v>
      </c>
      <c r="D751" t="s">
        <v>154</v>
      </c>
      <c r="E751" s="1">
        <v>46131</v>
      </c>
      <c r="F751" t="s">
        <v>471</v>
      </c>
      <c r="G751">
        <v>71</v>
      </c>
      <c r="H751">
        <v>2026</v>
      </c>
    </row>
    <row r="752" spans="1:8" hidden="1" x14ac:dyDescent="0.25">
      <c r="A752">
        <v>202</v>
      </c>
      <c r="B752" t="s">
        <v>770</v>
      </c>
      <c r="C752" t="s">
        <v>9</v>
      </c>
      <c r="D752" t="s">
        <v>10</v>
      </c>
      <c r="E752" s="1">
        <v>46040</v>
      </c>
      <c r="F752" t="s">
        <v>642</v>
      </c>
      <c r="G752">
        <v>97.2</v>
      </c>
      <c r="H752">
        <v>2026</v>
      </c>
    </row>
    <row r="753" spans="1:8" x14ac:dyDescent="0.25">
      <c r="A753">
        <v>204</v>
      </c>
      <c r="B753" t="s">
        <v>771</v>
      </c>
      <c r="C753" t="s">
        <v>156</v>
      </c>
      <c r="D753" t="s">
        <v>157</v>
      </c>
      <c r="E753" s="1">
        <v>46067</v>
      </c>
      <c r="F753" t="s">
        <v>471</v>
      </c>
      <c r="G753">
        <v>89.25</v>
      </c>
      <c r="H753">
        <v>2026</v>
      </c>
    </row>
    <row r="754" spans="1:8" hidden="1" x14ac:dyDescent="0.25">
      <c r="A754">
        <v>221</v>
      </c>
      <c r="B754" t="s">
        <v>772</v>
      </c>
      <c r="C754" t="s">
        <v>85</v>
      </c>
      <c r="D754" t="s">
        <v>86</v>
      </c>
      <c r="E754" s="1">
        <v>46131</v>
      </c>
      <c r="F754" t="s">
        <v>642</v>
      </c>
      <c r="G754">
        <v>89.83</v>
      </c>
      <c r="H754">
        <v>2026</v>
      </c>
    </row>
    <row r="755" spans="1:8" hidden="1" x14ac:dyDescent="0.25">
      <c r="A755">
        <v>232</v>
      </c>
      <c r="B755" t="s">
        <v>773</v>
      </c>
      <c r="C755" t="s">
        <v>153</v>
      </c>
      <c r="D755" t="s">
        <v>154</v>
      </c>
      <c r="E755" s="1">
        <v>46110</v>
      </c>
      <c r="F755" t="s">
        <v>471</v>
      </c>
      <c r="G755">
        <v>81.290000000000006</v>
      </c>
      <c r="H755">
        <v>2026</v>
      </c>
    </row>
    <row r="756" spans="1:8" hidden="1" x14ac:dyDescent="0.25">
      <c r="A756">
        <v>271</v>
      </c>
      <c r="B756" t="s">
        <v>774</v>
      </c>
      <c r="C756" t="s">
        <v>9</v>
      </c>
      <c r="D756" t="s">
        <v>10</v>
      </c>
      <c r="E756" s="1">
        <v>46132</v>
      </c>
      <c r="F756" t="s">
        <v>471</v>
      </c>
      <c r="G756">
        <v>73.22</v>
      </c>
      <c r="H756">
        <v>2026</v>
      </c>
    </row>
    <row r="757" spans="1:8" x14ac:dyDescent="0.25">
      <c r="A757">
        <v>273</v>
      </c>
      <c r="B757" t="s">
        <v>775</v>
      </c>
      <c r="C757" t="s">
        <v>156</v>
      </c>
      <c r="D757" t="s">
        <v>157</v>
      </c>
      <c r="E757" s="1">
        <v>46030</v>
      </c>
      <c r="F757" t="s">
        <v>471</v>
      </c>
      <c r="G757">
        <v>95.09</v>
      </c>
      <c r="H757">
        <v>2026</v>
      </c>
    </row>
    <row r="758" spans="1:8" x14ac:dyDescent="0.25">
      <c r="A758">
        <v>293</v>
      </c>
      <c r="B758" t="s">
        <v>776</v>
      </c>
      <c r="C758" t="s">
        <v>156</v>
      </c>
      <c r="D758" t="s">
        <v>157</v>
      </c>
      <c r="E758" s="1">
        <v>46035</v>
      </c>
      <c r="F758" t="s">
        <v>471</v>
      </c>
      <c r="G758">
        <v>74.180000000000007</v>
      </c>
      <c r="H758">
        <v>2026</v>
      </c>
    </row>
    <row r="759" spans="1:8" hidden="1" x14ac:dyDescent="0.25">
      <c r="A759">
        <v>331</v>
      </c>
      <c r="B759" t="s">
        <v>777</v>
      </c>
      <c r="C759" t="s">
        <v>9</v>
      </c>
      <c r="D759" t="s">
        <v>10</v>
      </c>
      <c r="E759" s="1">
        <v>46072</v>
      </c>
      <c r="F759" t="s">
        <v>642</v>
      </c>
      <c r="G759">
        <v>84.28</v>
      </c>
      <c r="H759">
        <v>2026</v>
      </c>
    </row>
    <row r="760" spans="1:8" hidden="1" x14ac:dyDescent="0.25">
      <c r="A760">
        <v>343</v>
      </c>
      <c r="B760" t="s">
        <v>778</v>
      </c>
      <c r="C760" t="s">
        <v>9</v>
      </c>
      <c r="D760" t="s">
        <v>10</v>
      </c>
      <c r="E760" s="1">
        <v>46025</v>
      </c>
      <c r="F760" t="s">
        <v>471</v>
      </c>
      <c r="G760">
        <v>96.44</v>
      </c>
      <c r="H760">
        <v>2026</v>
      </c>
    </row>
    <row r="761" spans="1:8" hidden="1" x14ac:dyDescent="0.25">
      <c r="A761">
        <v>366</v>
      </c>
      <c r="B761" t="s">
        <v>779</v>
      </c>
      <c r="C761" t="s">
        <v>9</v>
      </c>
      <c r="D761" t="s">
        <v>10</v>
      </c>
      <c r="E761" s="1">
        <v>46038</v>
      </c>
      <c r="F761" t="s">
        <v>471</v>
      </c>
      <c r="G761">
        <v>97.61</v>
      </c>
      <c r="H761">
        <v>2026</v>
      </c>
    </row>
    <row r="762" spans="1:8" hidden="1" x14ac:dyDescent="0.25">
      <c r="A762">
        <v>386</v>
      </c>
      <c r="B762" t="s">
        <v>780</v>
      </c>
      <c r="C762" t="s">
        <v>153</v>
      </c>
      <c r="D762" t="s">
        <v>154</v>
      </c>
      <c r="E762" s="1">
        <v>46129</v>
      </c>
      <c r="F762" t="s">
        <v>471</v>
      </c>
      <c r="G762">
        <v>84.43</v>
      </c>
      <c r="H762">
        <v>2026</v>
      </c>
    </row>
    <row r="763" spans="1:8" hidden="1" x14ac:dyDescent="0.25">
      <c r="A763">
        <v>393</v>
      </c>
      <c r="B763" t="s">
        <v>781</v>
      </c>
      <c r="C763" t="s">
        <v>9</v>
      </c>
      <c r="D763" t="s">
        <v>10</v>
      </c>
      <c r="E763" s="1">
        <v>46119</v>
      </c>
      <c r="F763" t="s">
        <v>642</v>
      </c>
      <c r="G763">
        <v>93.99</v>
      </c>
      <c r="H763">
        <v>2026</v>
      </c>
    </row>
    <row r="764" spans="1:8" hidden="1" x14ac:dyDescent="0.25">
      <c r="A764">
        <v>434</v>
      </c>
      <c r="B764" t="s">
        <v>782</v>
      </c>
      <c r="C764" t="s">
        <v>153</v>
      </c>
      <c r="D764" t="s">
        <v>154</v>
      </c>
      <c r="E764" s="1">
        <v>46117</v>
      </c>
      <c r="F764" t="s">
        <v>642</v>
      </c>
      <c r="G764">
        <v>83.09</v>
      </c>
      <c r="H764">
        <v>2026</v>
      </c>
    </row>
    <row r="765" spans="1:8" x14ac:dyDescent="0.25">
      <c r="A765">
        <v>435</v>
      </c>
      <c r="B765" t="s">
        <v>783</v>
      </c>
      <c r="C765" t="s">
        <v>156</v>
      </c>
      <c r="D765" t="s">
        <v>157</v>
      </c>
      <c r="E765" s="1">
        <v>46036</v>
      </c>
      <c r="F765" t="s">
        <v>642</v>
      </c>
      <c r="G765">
        <v>93.26</v>
      </c>
      <c r="H765">
        <v>2026</v>
      </c>
    </row>
    <row r="766" spans="1:8" x14ac:dyDescent="0.25">
      <c r="A766">
        <v>465</v>
      </c>
      <c r="B766" t="s">
        <v>784</v>
      </c>
      <c r="C766" t="s">
        <v>156</v>
      </c>
      <c r="D766" t="s">
        <v>157</v>
      </c>
      <c r="E766" s="1">
        <v>46111</v>
      </c>
      <c r="F766" t="s">
        <v>471</v>
      </c>
      <c r="G766">
        <v>98.89</v>
      </c>
      <c r="H766">
        <v>2026</v>
      </c>
    </row>
    <row r="767" spans="1:8" x14ac:dyDescent="0.25">
      <c r="A767">
        <v>473</v>
      </c>
      <c r="B767" t="s">
        <v>785</v>
      </c>
      <c r="C767" t="s">
        <v>156</v>
      </c>
      <c r="D767" t="s">
        <v>157</v>
      </c>
      <c r="E767" s="1">
        <v>46119</v>
      </c>
      <c r="F767" t="s">
        <v>471</v>
      </c>
      <c r="G767">
        <v>84.31</v>
      </c>
      <c r="H767">
        <v>2026</v>
      </c>
    </row>
    <row r="768" spans="1:8" x14ac:dyDescent="0.25">
      <c r="A768">
        <v>474</v>
      </c>
      <c r="B768" t="s">
        <v>786</v>
      </c>
      <c r="C768" t="s">
        <v>156</v>
      </c>
      <c r="D768" t="s">
        <v>157</v>
      </c>
      <c r="E768" s="1">
        <v>46055</v>
      </c>
      <c r="F768" t="s">
        <v>642</v>
      </c>
      <c r="G768">
        <v>77.22</v>
      </c>
      <c r="H768">
        <v>2026</v>
      </c>
    </row>
    <row r="769" spans="1:8" x14ac:dyDescent="0.25">
      <c r="A769">
        <v>477</v>
      </c>
      <c r="B769" t="s">
        <v>787</v>
      </c>
      <c r="C769" t="s">
        <v>156</v>
      </c>
      <c r="D769" t="s">
        <v>157</v>
      </c>
      <c r="E769" s="1">
        <v>46086</v>
      </c>
      <c r="F769" t="s">
        <v>471</v>
      </c>
      <c r="G769">
        <v>86.95</v>
      </c>
      <c r="H769">
        <v>2026</v>
      </c>
    </row>
    <row r="770" spans="1:8" hidden="1" x14ac:dyDescent="0.25">
      <c r="A770">
        <v>483</v>
      </c>
      <c r="B770" t="s">
        <v>788</v>
      </c>
      <c r="C770" t="s">
        <v>9</v>
      </c>
      <c r="D770" t="s">
        <v>10</v>
      </c>
      <c r="E770" s="1">
        <v>46103</v>
      </c>
      <c r="F770" t="s">
        <v>471</v>
      </c>
      <c r="G770">
        <v>82.33</v>
      </c>
      <c r="H770">
        <v>2026</v>
      </c>
    </row>
    <row r="771" spans="1:8" x14ac:dyDescent="0.25">
      <c r="A771">
        <v>498</v>
      </c>
      <c r="B771" t="s">
        <v>789</v>
      </c>
      <c r="C771" t="s">
        <v>156</v>
      </c>
      <c r="D771" t="s">
        <v>157</v>
      </c>
      <c r="E771" s="1">
        <v>46046</v>
      </c>
      <c r="F771" t="s">
        <v>471</v>
      </c>
      <c r="G771">
        <v>89.56</v>
      </c>
      <c r="H771">
        <v>2026</v>
      </c>
    </row>
    <row r="772" spans="1:8" x14ac:dyDescent="0.25">
      <c r="A772">
        <v>508</v>
      </c>
      <c r="B772" t="s">
        <v>790</v>
      </c>
      <c r="C772" t="s">
        <v>156</v>
      </c>
      <c r="D772" t="s">
        <v>157</v>
      </c>
      <c r="E772" s="1">
        <v>46075</v>
      </c>
      <c r="F772" t="s">
        <v>471</v>
      </c>
      <c r="G772">
        <v>70.739999999999995</v>
      </c>
      <c r="H772">
        <v>2026</v>
      </c>
    </row>
    <row r="773" spans="1:8" hidden="1" x14ac:dyDescent="0.25">
      <c r="A773">
        <v>511</v>
      </c>
      <c r="B773" t="s">
        <v>791</v>
      </c>
      <c r="C773" t="s">
        <v>9</v>
      </c>
      <c r="D773" t="s">
        <v>10</v>
      </c>
      <c r="E773" s="1">
        <v>46061</v>
      </c>
      <c r="F773" t="s">
        <v>471</v>
      </c>
      <c r="G773">
        <v>93.8</v>
      </c>
      <c r="H773">
        <v>2026</v>
      </c>
    </row>
    <row r="774" spans="1:8" hidden="1" x14ac:dyDescent="0.25">
      <c r="A774">
        <v>526</v>
      </c>
      <c r="B774" t="s">
        <v>792</v>
      </c>
      <c r="C774" t="s">
        <v>153</v>
      </c>
      <c r="D774" t="s">
        <v>154</v>
      </c>
      <c r="E774" s="1">
        <v>46118</v>
      </c>
      <c r="F774" t="s">
        <v>642</v>
      </c>
      <c r="G774">
        <v>74.08</v>
      </c>
      <c r="H774">
        <v>2026</v>
      </c>
    </row>
    <row r="775" spans="1:8" hidden="1" x14ac:dyDescent="0.25">
      <c r="A775">
        <v>541</v>
      </c>
      <c r="B775" t="s">
        <v>793</v>
      </c>
      <c r="C775" t="s">
        <v>85</v>
      </c>
      <c r="D775" t="s">
        <v>86</v>
      </c>
      <c r="E775" s="1">
        <v>46138</v>
      </c>
      <c r="F775" t="s">
        <v>642</v>
      </c>
      <c r="G775">
        <v>70.36</v>
      </c>
      <c r="H775">
        <v>2026</v>
      </c>
    </row>
    <row r="776" spans="1:8" hidden="1" x14ac:dyDescent="0.25">
      <c r="A776">
        <v>542</v>
      </c>
      <c r="B776" t="s">
        <v>794</v>
      </c>
      <c r="C776" t="s">
        <v>85</v>
      </c>
      <c r="D776" t="s">
        <v>86</v>
      </c>
      <c r="E776" s="1">
        <v>46064</v>
      </c>
      <c r="F776" t="s">
        <v>642</v>
      </c>
      <c r="G776">
        <v>87.61</v>
      </c>
      <c r="H776">
        <v>2026</v>
      </c>
    </row>
    <row r="777" spans="1:8" hidden="1" x14ac:dyDescent="0.25">
      <c r="A777">
        <v>572</v>
      </c>
      <c r="B777" t="s">
        <v>795</v>
      </c>
      <c r="C777" t="s">
        <v>9</v>
      </c>
      <c r="D777" t="s">
        <v>10</v>
      </c>
      <c r="E777" s="1">
        <v>46075</v>
      </c>
      <c r="F777" t="s">
        <v>471</v>
      </c>
      <c r="G777">
        <v>99.28</v>
      </c>
      <c r="H777">
        <v>2026</v>
      </c>
    </row>
    <row r="778" spans="1:8" hidden="1" x14ac:dyDescent="0.25">
      <c r="A778">
        <v>590</v>
      </c>
      <c r="B778" t="s">
        <v>796</v>
      </c>
      <c r="C778" t="s">
        <v>85</v>
      </c>
      <c r="D778" t="s">
        <v>86</v>
      </c>
      <c r="E778" s="1">
        <v>46053</v>
      </c>
      <c r="F778" t="s">
        <v>471</v>
      </c>
      <c r="G778">
        <v>78.13</v>
      </c>
      <c r="H778">
        <v>2026</v>
      </c>
    </row>
    <row r="779" spans="1:8" hidden="1" x14ac:dyDescent="0.25">
      <c r="A779">
        <v>593</v>
      </c>
      <c r="B779" t="s">
        <v>797</v>
      </c>
      <c r="C779" t="s">
        <v>85</v>
      </c>
      <c r="D779" t="s">
        <v>86</v>
      </c>
      <c r="E779" s="1">
        <v>46060</v>
      </c>
      <c r="F779" t="s">
        <v>471</v>
      </c>
      <c r="G779">
        <v>90.81</v>
      </c>
      <c r="H779">
        <v>2026</v>
      </c>
    </row>
    <row r="780" spans="1:8" hidden="1" x14ac:dyDescent="0.25">
      <c r="A780">
        <v>595</v>
      </c>
      <c r="B780" t="s">
        <v>798</v>
      </c>
      <c r="C780" t="s">
        <v>153</v>
      </c>
      <c r="D780" t="s">
        <v>154</v>
      </c>
      <c r="E780" s="1">
        <v>46104</v>
      </c>
      <c r="F780" t="s">
        <v>471</v>
      </c>
      <c r="G780">
        <v>91.15</v>
      </c>
      <c r="H780">
        <v>2026</v>
      </c>
    </row>
    <row r="781" spans="1:8" hidden="1" x14ac:dyDescent="0.25">
      <c r="A781">
        <v>609</v>
      </c>
      <c r="B781" t="s">
        <v>799</v>
      </c>
      <c r="C781" t="s">
        <v>9</v>
      </c>
      <c r="D781" t="s">
        <v>10</v>
      </c>
      <c r="E781" s="1">
        <v>46025</v>
      </c>
      <c r="F781" t="s">
        <v>642</v>
      </c>
      <c r="G781">
        <v>78.84</v>
      </c>
      <c r="H781">
        <v>2026</v>
      </c>
    </row>
    <row r="782" spans="1:8" hidden="1" x14ac:dyDescent="0.25">
      <c r="A782">
        <v>611</v>
      </c>
      <c r="B782" t="s">
        <v>800</v>
      </c>
      <c r="C782" t="s">
        <v>153</v>
      </c>
      <c r="D782" t="s">
        <v>154</v>
      </c>
      <c r="E782" s="1">
        <v>46123</v>
      </c>
      <c r="F782" t="s">
        <v>471</v>
      </c>
      <c r="G782">
        <v>99.97</v>
      </c>
      <c r="H782">
        <v>2026</v>
      </c>
    </row>
    <row r="783" spans="1:8" hidden="1" x14ac:dyDescent="0.25">
      <c r="A783">
        <v>613</v>
      </c>
      <c r="B783" t="s">
        <v>801</v>
      </c>
      <c r="C783" t="s">
        <v>9</v>
      </c>
      <c r="D783" t="s">
        <v>10</v>
      </c>
      <c r="E783" s="1">
        <v>46097</v>
      </c>
      <c r="F783" t="s">
        <v>642</v>
      </c>
      <c r="G783">
        <v>89.88</v>
      </c>
      <c r="H783">
        <v>2026</v>
      </c>
    </row>
    <row r="784" spans="1:8" hidden="1" x14ac:dyDescent="0.25">
      <c r="A784">
        <v>623</v>
      </c>
      <c r="B784" t="s">
        <v>802</v>
      </c>
      <c r="C784" t="s">
        <v>153</v>
      </c>
      <c r="D784" t="s">
        <v>154</v>
      </c>
      <c r="E784" s="1">
        <v>46114</v>
      </c>
      <c r="F784" t="s">
        <v>642</v>
      </c>
      <c r="G784">
        <v>85.37</v>
      </c>
      <c r="H784">
        <v>2026</v>
      </c>
    </row>
    <row r="785" spans="1:8" hidden="1" x14ac:dyDescent="0.25">
      <c r="A785">
        <v>625</v>
      </c>
      <c r="B785" t="s">
        <v>803</v>
      </c>
      <c r="C785" t="s">
        <v>153</v>
      </c>
      <c r="D785" t="s">
        <v>154</v>
      </c>
      <c r="E785" s="1">
        <v>46104</v>
      </c>
      <c r="F785" t="s">
        <v>642</v>
      </c>
      <c r="G785">
        <v>85.56</v>
      </c>
      <c r="H785">
        <v>2026</v>
      </c>
    </row>
    <row r="786" spans="1:8" hidden="1" x14ac:dyDescent="0.25">
      <c r="A786">
        <v>637</v>
      </c>
      <c r="B786" t="s">
        <v>804</v>
      </c>
      <c r="C786" t="s">
        <v>85</v>
      </c>
      <c r="D786" t="s">
        <v>86</v>
      </c>
      <c r="E786" s="1">
        <v>46064</v>
      </c>
      <c r="F786" t="s">
        <v>471</v>
      </c>
      <c r="G786">
        <v>94.76</v>
      </c>
      <c r="H786">
        <v>2026</v>
      </c>
    </row>
    <row r="787" spans="1:8" hidden="1" x14ac:dyDescent="0.25">
      <c r="A787">
        <v>661</v>
      </c>
      <c r="B787" t="s">
        <v>805</v>
      </c>
      <c r="C787" t="s">
        <v>85</v>
      </c>
      <c r="D787" t="s">
        <v>86</v>
      </c>
      <c r="E787" s="1">
        <v>46143</v>
      </c>
      <c r="F787" t="s">
        <v>471</v>
      </c>
      <c r="G787">
        <v>93.93</v>
      </c>
      <c r="H787">
        <v>2026</v>
      </c>
    </row>
    <row r="788" spans="1:8" hidden="1" x14ac:dyDescent="0.25">
      <c r="A788">
        <v>666</v>
      </c>
      <c r="B788" t="s">
        <v>806</v>
      </c>
      <c r="C788" t="s">
        <v>153</v>
      </c>
      <c r="D788" t="s">
        <v>154</v>
      </c>
      <c r="E788" s="1">
        <v>46080</v>
      </c>
      <c r="F788" t="s">
        <v>471</v>
      </c>
      <c r="G788">
        <v>99.38</v>
      </c>
      <c r="H788">
        <v>2026</v>
      </c>
    </row>
    <row r="789" spans="1:8" hidden="1" x14ac:dyDescent="0.25">
      <c r="A789">
        <v>675</v>
      </c>
      <c r="B789" t="s">
        <v>807</v>
      </c>
      <c r="C789" t="s">
        <v>9</v>
      </c>
      <c r="D789" t="s">
        <v>10</v>
      </c>
      <c r="E789" s="1">
        <v>46037</v>
      </c>
      <c r="F789" t="s">
        <v>642</v>
      </c>
      <c r="G789">
        <v>84.67</v>
      </c>
      <c r="H789">
        <v>2026</v>
      </c>
    </row>
    <row r="790" spans="1:8" hidden="1" x14ac:dyDescent="0.25">
      <c r="A790">
        <v>678</v>
      </c>
      <c r="B790" t="s">
        <v>808</v>
      </c>
      <c r="C790" t="s">
        <v>153</v>
      </c>
      <c r="D790" t="s">
        <v>154</v>
      </c>
      <c r="E790" s="1">
        <v>46063</v>
      </c>
      <c r="F790" t="s">
        <v>642</v>
      </c>
      <c r="G790">
        <v>83.42</v>
      </c>
      <c r="H790">
        <v>2026</v>
      </c>
    </row>
    <row r="791" spans="1:8" hidden="1" x14ac:dyDescent="0.25">
      <c r="A791">
        <v>681</v>
      </c>
      <c r="B791" t="s">
        <v>809</v>
      </c>
      <c r="C791" t="s">
        <v>9</v>
      </c>
      <c r="D791" t="s">
        <v>10</v>
      </c>
      <c r="E791" s="1">
        <v>46040</v>
      </c>
      <c r="F791" t="s">
        <v>642</v>
      </c>
      <c r="G791">
        <v>83.93</v>
      </c>
      <c r="H791">
        <v>2026</v>
      </c>
    </row>
    <row r="792" spans="1:8" x14ac:dyDescent="0.25">
      <c r="A792">
        <v>682</v>
      </c>
      <c r="B792" t="s">
        <v>810</v>
      </c>
      <c r="C792" t="s">
        <v>156</v>
      </c>
      <c r="D792" t="s">
        <v>157</v>
      </c>
      <c r="E792" s="1">
        <v>46053</v>
      </c>
      <c r="F792" t="s">
        <v>471</v>
      </c>
      <c r="G792">
        <v>93.7</v>
      </c>
      <c r="H792">
        <v>2026</v>
      </c>
    </row>
    <row r="793" spans="1:8" hidden="1" x14ac:dyDescent="0.25">
      <c r="A793">
        <v>685</v>
      </c>
      <c r="B793" t="s">
        <v>811</v>
      </c>
      <c r="C793" t="s">
        <v>153</v>
      </c>
      <c r="D793" t="s">
        <v>154</v>
      </c>
      <c r="E793" s="1">
        <v>46108</v>
      </c>
      <c r="F793" t="s">
        <v>642</v>
      </c>
      <c r="G793">
        <v>71.89</v>
      </c>
      <c r="H793">
        <v>2026</v>
      </c>
    </row>
    <row r="794" spans="1:8" hidden="1" x14ac:dyDescent="0.25">
      <c r="A794">
        <v>700</v>
      </c>
      <c r="B794" t="s">
        <v>812</v>
      </c>
      <c r="C794" t="s">
        <v>9</v>
      </c>
      <c r="D794" t="s">
        <v>10</v>
      </c>
      <c r="E794" s="1">
        <v>46101</v>
      </c>
      <c r="F794" t="s">
        <v>642</v>
      </c>
      <c r="G794">
        <v>75.41</v>
      </c>
      <c r="H794">
        <v>2026</v>
      </c>
    </row>
    <row r="795" spans="1:8" x14ac:dyDescent="0.25">
      <c r="A795">
        <v>723</v>
      </c>
      <c r="B795" t="s">
        <v>813</v>
      </c>
      <c r="C795" t="s">
        <v>156</v>
      </c>
      <c r="D795" t="s">
        <v>157</v>
      </c>
      <c r="E795" s="1">
        <v>46136</v>
      </c>
      <c r="F795" t="s">
        <v>471</v>
      </c>
      <c r="G795">
        <v>82.85</v>
      </c>
      <c r="H795">
        <v>2026</v>
      </c>
    </row>
    <row r="796" spans="1:8" hidden="1" x14ac:dyDescent="0.25">
      <c r="A796">
        <v>727</v>
      </c>
      <c r="B796" t="s">
        <v>814</v>
      </c>
      <c r="C796" t="s">
        <v>9</v>
      </c>
      <c r="D796" t="s">
        <v>10</v>
      </c>
      <c r="E796" s="1">
        <v>46057</v>
      </c>
      <c r="F796" t="s">
        <v>471</v>
      </c>
      <c r="G796">
        <v>93.24</v>
      </c>
      <c r="H796">
        <v>2026</v>
      </c>
    </row>
    <row r="797" spans="1:8" hidden="1" x14ac:dyDescent="0.25">
      <c r="A797">
        <v>732</v>
      </c>
      <c r="B797" t="s">
        <v>815</v>
      </c>
      <c r="C797" t="s">
        <v>153</v>
      </c>
      <c r="D797" t="s">
        <v>154</v>
      </c>
      <c r="E797" s="1">
        <v>46041</v>
      </c>
      <c r="F797" t="s">
        <v>471</v>
      </c>
      <c r="G797">
        <v>88.17</v>
      </c>
      <c r="H797">
        <v>2026</v>
      </c>
    </row>
    <row r="798" spans="1:8" hidden="1" x14ac:dyDescent="0.25">
      <c r="A798">
        <v>734</v>
      </c>
      <c r="B798" t="s">
        <v>816</v>
      </c>
      <c r="C798" t="s">
        <v>153</v>
      </c>
      <c r="D798" t="s">
        <v>154</v>
      </c>
      <c r="E798" s="1">
        <v>46082</v>
      </c>
      <c r="F798" t="s">
        <v>642</v>
      </c>
      <c r="G798">
        <v>81.8</v>
      </c>
      <c r="H798">
        <v>2026</v>
      </c>
    </row>
    <row r="799" spans="1:8" x14ac:dyDescent="0.25">
      <c r="A799">
        <v>735</v>
      </c>
      <c r="B799" t="s">
        <v>817</v>
      </c>
      <c r="C799" t="s">
        <v>156</v>
      </c>
      <c r="D799" t="s">
        <v>157</v>
      </c>
      <c r="E799" s="1">
        <v>46065</v>
      </c>
      <c r="F799" t="s">
        <v>642</v>
      </c>
      <c r="G799">
        <v>89.79</v>
      </c>
      <c r="H799">
        <v>2026</v>
      </c>
    </row>
    <row r="800" spans="1:8" hidden="1" x14ac:dyDescent="0.25">
      <c r="A800">
        <v>779</v>
      </c>
      <c r="B800" t="s">
        <v>818</v>
      </c>
      <c r="C800" t="s">
        <v>153</v>
      </c>
      <c r="D800" t="s">
        <v>154</v>
      </c>
      <c r="E800" s="1">
        <v>46083</v>
      </c>
      <c r="F800" t="s">
        <v>471</v>
      </c>
      <c r="G800">
        <v>80.91</v>
      </c>
      <c r="H800">
        <v>2026</v>
      </c>
    </row>
    <row r="801" spans="1:8" hidden="1" x14ac:dyDescent="0.25">
      <c r="A801">
        <v>788</v>
      </c>
      <c r="B801" t="s">
        <v>819</v>
      </c>
      <c r="C801" t="s">
        <v>153</v>
      </c>
      <c r="D801" t="s">
        <v>154</v>
      </c>
      <c r="E801" s="1">
        <v>46103</v>
      </c>
      <c r="F801" t="s">
        <v>471</v>
      </c>
      <c r="G801">
        <v>85.96</v>
      </c>
      <c r="H801">
        <v>2026</v>
      </c>
    </row>
    <row r="802" spans="1:8" hidden="1" x14ac:dyDescent="0.25">
      <c r="A802">
        <v>791</v>
      </c>
      <c r="B802" t="s">
        <v>820</v>
      </c>
      <c r="C802" t="s">
        <v>9</v>
      </c>
      <c r="D802" t="s">
        <v>10</v>
      </c>
      <c r="E802" s="1">
        <v>46144</v>
      </c>
      <c r="F802" t="s">
        <v>471</v>
      </c>
      <c r="G802">
        <v>80.930000000000007</v>
      </c>
      <c r="H802">
        <v>2026</v>
      </c>
    </row>
    <row r="803" spans="1:8" hidden="1" x14ac:dyDescent="0.25">
      <c r="A803">
        <v>806</v>
      </c>
      <c r="B803" t="s">
        <v>821</v>
      </c>
      <c r="C803" t="s">
        <v>153</v>
      </c>
      <c r="D803" t="s">
        <v>154</v>
      </c>
      <c r="E803" s="1">
        <v>46061</v>
      </c>
      <c r="F803" t="s">
        <v>471</v>
      </c>
      <c r="G803">
        <v>97.12</v>
      </c>
      <c r="H803">
        <v>2026</v>
      </c>
    </row>
    <row r="804" spans="1:8" hidden="1" x14ac:dyDescent="0.25">
      <c r="A804">
        <v>815</v>
      </c>
      <c r="B804" t="s">
        <v>822</v>
      </c>
      <c r="C804" t="s">
        <v>9</v>
      </c>
      <c r="D804" t="s">
        <v>10</v>
      </c>
      <c r="E804" s="1">
        <v>46055</v>
      </c>
      <c r="F804" t="s">
        <v>471</v>
      </c>
      <c r="G804">
        <v>98.58</v>
      </c>
      <c r="H804">
        <v>2026</v>
      </c>
    </row>
    <row r="805" spans="1:8" x14ac:dyDescent="0.25">
      <c r="A805">
        <v>853</v>
      </c>
      <c r="B805" t="s">
        <v>823</v>
      </c>
      <c r="C805" t="s">
        <v>156</v>
      </c>
      <c r="D805" t="s">
        <v>157</v>
      </c>
      <c r="E805" s="1">
        <v>46025</v>
      </c>
      <c r="F805" t="s">
        <v>471</v>
      </c>
      <c r="G805">
        <v>76.86</v>
      </c>
      <c r="H805">
        <v>2026</v>
      </c>
    </row>
    <row r="806" spans="1:8" hidden="1" x14ac:dyDescent="0.25">
      <c r="A806">
        <v>881</v>
      </c>
      <c r="B806" t="s">
        <v>824</v>
      </c>
      <c r="C806" t="s">
        <v>9</v>
      </c>
      <c r="D806" t="s">
        <v>10</v>
      </c>
      <c r="E806" s="1">
        <v>46120</v>
      </c>
      <c r="F806" t="s">
        <v>642</v>
      </c>
      <c r="G806">
        <v>70.489999999999995</v>
      </c>
      <c r="H806">
        <v>2026</v>
      </c>
    </row>
    <row r="807" spans="1:8" hidden="1" x14ac:dyDescent="0.25">
      <c r="A807">
        <v>882</v>
      </c>
      <c r="B807" t="s">
        <v>825</v>
      </c>
      <c r="C807" t="s">
        <v>85</v>
      </c>
      <c r="D807" t="s">
        <v>86</v>
      </c>
      <c r="E807" s="1">
        <v>46114</v>
      </c>
      <c r="F807" t="s">
        <v>471</v>
      </c>
      <c r="G807">
        <v>92.34</v>
      </c>
      <c r="H807">
        <v>2026</v>
      </c>
    </row>
    <row r="808" spans="1:8" hidden="1" x14ac:dyDescent="0.25">
      <c r="A808">
        <v>887</v>
      </c>
      <c r="B808" t="s">
        <v>826</v>
      </c>
      <c r="C808" t="s">
        <v>85</v>
      </c>
      <c r="D808" t="s">
        <v>86</v>
      </c>
      <c r="E808" s="1">
        <v>46094</v>
      </c>
      <c r="F808" t="s">
        <v>471</v>
      </c>
      <c r="G808">
        <v>70.2</v>
      </c>
      <c r="H808">
        <v>2026</v>
      </c>
    </row>
    <row r="809" spans="1:8" x14ac:dyDescent="0.25">
      <c r="A809">
        <v>888</v>
      </c>
      <c r="B809" t="s">
        <v>827</v>
      </c>
      <c r="C809" t="s">
        <v>156</v>
      </c>
      <c r="D809" t="s">
        <v>157</v>
      </c>
      <c r="E809" s="1">
        <v>46121</v>
      </c>
      <c r="F809" t="s">
        <v>471</v>
      </c>
      <c r="G809">
        <v>97.83</v>
      </c>
      <c r="H809">
        <v>2026</v>
      </c>
    </row>
    <row r="810" spans="1:8" hidden="1" x14ac:dyDescent="0.25">
      <c r="A810">
        <v>896</v>
      </c>
      <c r="B810" t="s">
        <v>828</v>
      </c>
      <c r="C810" t="s">
        <v>153</v>
      </c>
      <c r="D810" t="s">
        <v>154</v>
      </c>
      <c r="E810" s="1">
        <v>46087</v>
      </c>
      <c r="F810" t="s">
        <v>471</v>
      </c>
      <c r="G810">
        <v>78.41</v>
      </c>
      <c r="H810">
        <v>2026</v>
      </c>
    </row>
    <row r="811" spans="1:8" hidden="1" x14ac:dyDescent="0.25">
      <c r="A811">
        <v>916</v>
      </c>
      <c r="B811" t="s">
        <v>829</v>
      </c>
      <c r="C811" t="s">
        <v>9</v>
      </c>
      <c r="D811" t="s">
        <v>10</v>
      </c>
      <c r="E811" s="1">
        <v>46026</v>
      </c>
      <c r="F811" t="s">
        <v>642</v>
      </c>
      <c r="G811">
        <v>94.59</v>
      </c>
      <c r="H811">
        <v>2026</v>
      </c>
    </row>
    <row r="812" spans="1:8" hidden="1" x14ac:dyDescent="0.25">
      <c r="A812">
        <v>924</v>
      </c>
      <c r="B812" t="s">
        <v>830</v>
      </c>
      <c r="C812" t="s">
        <v>153</v>
      </c>
      <c r="D812" t="s">
        <v>154</v>
      </c>
      <c r="E812" s="1">
        <v>46096</v>
      </c>
      <c r="F812" t="s">
        <v>471</v>
      </c>
      <c r="G812">
        <v>73.75</v>
      </c>
      <c r="H812">
        <v>2026</v>
      </c>
    </row>
    <row r="813" spans="1:8" hidden="1" x14ac:dyDescent="0.25">
      <c r="A813">
        <v>927</v>
      </c>
      <c r="B813" t="s">
        <v>831</v>
      </c>
      <c r="C813" t="s">
        <v>153</v>
      </c>
      <c r="D813" t="s">
        <v>154</v>
      </c>
      <c r="E813" s="1">
        <v>46066</v>
      </c>
      <c r="F813" t="s">
        <v>642</v>
      </c>
      <c r="G813">
        <v>80.61</v>
      </c>
      <c r="H813">
        <v>2026</v>
      </c>
    </row>
    <row r="814" spans="1:8" hidden="1" x14ac:dyDescent="0.25">
      <c r="A814">
        <v>930</v>
      </c>
      <c r="B814" t="s">
        <v>832</v>
      </c>
      <c r="C814" t="s">
        <v>9</v>
      </c>
      <c r="D814" t="s">
        <v>10</v>
      </c>
      <c r="E814" s="1">
        <v>46133</v>
      </c>
      <c r="F814" t="s">
        <v>471</v>
      </c>
      <c r="G814">
        <v>83.43</v>
      </c>
      <c r="H814">
        <v>2026</v>
      </c>
    </row>
    <row r="815" spans="1:8" hidden="1" x14ac:dyDescent="0.25">
      <c r="A815">
        <v>936</v>
      </c>
      <c r="B815" t="s">
        <v>833</v>
      </c>
      <c r="C815" t="s">
        <v>85</v>
      </c>
      <c r="D815" t="s">
        <v>86</v>
      </c>
      <c r="E815" s="1">
        <v>46035</v>
      </c>
      <c r="F815" t="s">
        <v>471</v>
      </c>
      <c r="G815">
        <v>93.78</v>
      </c>
      <c r="H815">
        <v>2026</v>
      </c>
    </row>
    <row r="816" spans="1:8" hidden="1" x14ac:dyDescent="0.25">
      <c r="A816">
        <v>948</v>
      </c>
      <c r="B816" t="s">
        <v>834</v>
      </c>
      <c r="C816" t="s">
        <v>153</v>
      </c>
      <c r="D816" t="s">
        <v>154</v>
      </c>
      <c r="E816" s="1">
        <v>46078</v>
      </c>
      <c r="F816" t="s">
        <v>642</v>
      </c>
      <c r="G816">
        <v>79.48</v>
      </c>
      <c r="H816">
        <v>2026</v>
      </c>
    </row>
    <row r="817" spans="1:8" hidden="1" x14ac:dyDescent="0.25">
      <c r="A817">
        <v>953</v>
      </c>
      <c r="B817" t="s">
        <v>835</v>
      </c>
      <c r="C817" t="s">
        <v>9</v>
      </c>
      <c r="D817" t="s">
        <v>10</v>
      </c>
      <c r="E817" s="1">
        <v>46122</v>
      </c>
      <c r="F817" t="s">
        <v>471</v>
      </c>
      <c r="G817">
        <v>89.52</v>
      </c>
      <c r="H817">
        <v>2026</v>
      </c>
    </row>
    <row r="818" spans="1:8" hidden="1" x14ac:dyDescent="0.25">
      <c r="A818">
        <v>960</v>
      </c>
      <c r="B818" t="s">
        <v>836</v>
      </c>
      <c r="C818" t="s">
        <v>153</v>
      </c>
      <c r="D818" t="s">
        <v>154</v>
      </c>
      <c r="E818" s="1">
        <v>46115</v>
      </c>
      <c r="F818" t="s">
        <v>642</v>
      </c>
      <c r="G818">
        <v>91.94</v>
      </c>
      <c r="H818">
        <v>2026</v>
      </c>
    </row>
    <row r="819" spans="1:8" hidden="1" x14ac:dyDescent="0.25">
      <c r="A819">
        <v>986</v>
      </c>
      <c r="B819" t="s">
        <v>837</v>
      </c>
      <c r="C819" t="s">
        <v>85</v>
      </c>
      <c r="D819" t="s">
        <v>86</v>
      </c>
      <c r="E819" s="1">
        <v>46082</v>
      </c>
      <c r="F819" t="s">
        <v>471</v>
      </c>
      <c r="G819">
        <v>85.14</v>
      </c>
      <c r="H819">
        <v>2026</v>
      </c>
    </row>
    <row r="820" spans="1:8" hidden="1" x14ac:dyDescent="0.25">
      <c r="A820">
        <v>987</v>
      </c>
      <c r="B820" t="s">
        <v>838</v>
      </c>
      <c r="C820" t="s">
        <v>153</v>
      </c>
      <c r="D820" t="s">
        <v>154</v>
      </c>
      <c r="E820" s="1">
        <v>46023</v>
      </c>
      <c r="F820" t="s">
        <v>642</v>
      </c>
      <c r="G820">
        <v>72.430000000000007</v>
      </c>
      <c r="H820">
        <v>2026</v>
      </c>
    </row>
    <row r="821" spans="1:8" hidden="1" x14ac:dyDescent="0.25">
      <c r="A821">
        <v>992</v>
      </c>
      <c r="B821" t="s">
        <v>839</v>
      </c>
      <c r="C821" t="s">
        <v>9</v>
      </c>
      <c r="D821" t="s">
        <v>10</v>
      </c>
      <c r="E821" s="1">
        <v>46090</v>
      </c>
      <c r="F821" t="s">
        <v>471</v>
      </c>
      <c r="G821">
        <v>82.8</v>
      </c>
      <c r="H821">
        <v>2026</v>
      </c>
    </row>
    <row r="822" spans="1:8" hidden="1" x14ac:dyDescent="0.25">
      <c r="A822">
        <v>994</v>
      </c>
      <c r="B822" t="s">
        <v>840</v>
      </c>
      <c r="C822" t="s">
        <v>153</v>
      </c>
      <c r="D822" t="s">
        <v>154</v>
      </c>
      <c r="E822" s="1">
        <v>46069</v>
      </c>
      <c r="F822" t="s">
        <v>471</v>
      </c>
      <c r="G822">
        <v>80.040000000000006</v>
      </c>
      <c r="H822">
        <v>2026</v>
      </c>
    </row>
    <row r="823" spans="1:8" hidden="1" x14ac:dyDescent="0.25">
      <c r="A823">
        <v>5</v>
      </c>
      <c r="B823" t="s">
        <v>841</v>
      </c>
      <c r="C823" t="s">
        <v>9</v>
      </c>
      <c r="D823" t="s">
        <v>10</v>
      </c>
      <c r="E823" s="1">
        <v>46121</v>
      </c>
      <c r="F823" t="s">
        <v>270</v>
      </c>
      <c r="G823">
        <v>73.75</v>
      </c>
      <c r="H823">
        <v>2026</v>
      </c>
    </row>
    <row r="824" spans="1:8" hidden="1" x14ac:dyDescent="0.25">
      <c r="A824">
        <v>17</v>
      </c>
      <c r="B824" t="s">
        <v>842</v>
      </c>
      <c r="C824" t="s">
        <v>85</v>
      </c>
      <c r="D824" t="s">
        <v>86</v>
      </c>
      <c r="E824" s="1">
        <v>46142</v>
      </c>
      <c r="F824" t="s">
        <v>270</v>
      </c>
      <c r="G824">
        <v>84.79</v>
      </c>
      <c r="H824">
        <v>2026</v>
      </c>
    </row>
    <row r="825" spans="1:8" hidden="1" x14ac:dyDescent="0.25">
      <c r="A825">
        <v>21</v>
      </c>
      <c r="B825" t="s">
        <v>843</v>
      </c>
      <c r="C825" t="s">
        <v>153</v>
      </c>
      <c r="D825" t="s">
        <v>154</v>
      </c>
      <c r="E825" s="1">
        <v>46119</v>
      </c>
      <c r="F825" t="s">
        <v>270</v>
      </c>
      <c r="G825">
        <v>99.57</v>
      </c>
      <c r="H825">
        <v>2026</v>
      </c>
    </row>
    <row r="826" spans="1:8" hidden="1" x14ac:dyDescent="0.25">
      <c r="A826">
        <v>26</v>
      </c>
      <c r="B826" t="s">
        <v>844</v>
      </c>
      <c r="C826" t="s">
        <v>9</v>
      </c>
      <c r="D826" t="s">
        <v>10</v>
      </c>
      <c r="E826" s="1">
        <v>46035</v>
      </c>
      <c r="F826" t="s">
        <v>270</v>
      </c>
      <c r="G826">
        <v>92.63</v>
      </c>
      <c r="H826">
        <v>2026</v>
      </c>
    </row>
    <row r="827" spans="1:8" x14ac:dyDescent="0.25">
      <c r="A827">
        <v>37</v>
      </c>
      <c r="B827" t="s">
        <v>845</v>
      </c>
      <c r="C827" t="s">
        <v>156</v>
      </c>
      <c r="D827" t="s">
        <v>157</v>
      </c>
      <c r="E827" s="1">
        <v>46103</v>
      </c>
      <c r="F827" t="s">
        <v>270</v>
      </c>
      <c r="G827">
        <v>74.22</v>
      </c>
      <c r="H827">
        <v>2026</v>
      </c>
    </row>
    <row r="828" spans="1:8" hidden="1" x14ac:dyDescent="0.25">
      <c r="A828">
        <v>51</v>
      </c>
      <c r="B828" t="s">
        <v>846</v>
      </c>
      <c r="C828" t="s">
        <v>85</v>
      </c>
      <c r="D828" t="s">
        <v>86</v>
      </c>
      <c r="E828" s="1">
        <v>46058</v>
      </c>
      <c r="F828" t="s">
        <v>270</v>
      </c>
      <c r="G828">
        <v>98.56</v>
      </c>
      <c r="H828">
        <v>2026</v>
      </c>
    </row>
    <row r="829" spans="1:8" hidden="1" x14ac:dyDescent="0.25">
      <c r="A829">
        <v>56</v>
      </c>
      <c r="B829" t="s">
        <v>847</v>
      </c>
      <c r="C829" t="s">
        <v>9</v>
      </c>
      <c r="D829" t="s">
        <v>10</v>
      </c>
      <c r="E829" s="1">
        <v>46105</v>
      </c>
      <c r="F829" t="s">
        <v>270</v>
      </c>
      <c r="G829">
        <v>83.3</v>
      </c>
      <c r="H829">
        <v>2026</v>
      </c>
    </row>
    <row r="830" spans="1:8" hidden="1" x14ac:dyDescent="0.25">
      <c r="A830">
        <v>62</v>
      </c>
      <c r="B830" t="s">
        <v>848</v>
      </c>
      <c r="C830" t="s">
        <v>153</v>
      </c>
      <c r="D830" t="s">
        <v>154</v>
      </c>
      <c r="E830" s="1">
        <v>46090</v>
      </c>
      <c r="F830" t="s">
        <v>270</v>
      </c>
      <c r="G830">
        <v>96.89</v>
      </c>
      <c r="H830">
        <v>2026</v>
      </c>
    </row>
    <row r="831" spans="1:8" hidden="1" x14ac:dyDescent="0.25">
      <c r="A831">
        <v>72</v>
      </c>
      <c r="B831" t="s">
        <v>849</v>
      </c>
      <c r="C831" t="s">
        <v>9</v>
      </c>
      <c r="D831" t="s">
        <v>10</v>
      </c>
      <c r="E831" s="1">
        <v>46093</v>
      </c>
      <c r="F831" t="s">
        <v>270</v>
      </c>
      <c r="G831">
        <v>84.58</v>
      </c>
      <c r="H831">
        <v>2026</v>
      </c>
    </row>
    <row r="832" spans="1:8" hidden="1" x14ac:dyDescent="0.25">
      <c r="A832">
        <v>88</v>
      </c>
      <c r="B832" t="s">
        <v>850</v>
      </c>
      <c r="C832" t="s">
        <v>85</v>
      </c>
      <c r="D832" t="s">
        <v>86</v>
      </c>
      <c r="E832" s="1">
        <v>46044</v>
      </c>
      <c r="F832" t="s">
        <v>270</v>
      </c>
      <c r="G832">
        <v>83.08</v>
      </c>
      <c r="H832">
        <v>2026</v>
      </c>
    </row>
    <row r="833" spans="1:8" hidden="1" x14ac:dyDescent="0.25">
      <c r="A833">
        <v>98</v>
      </c>
      <c r="B833" t="s">
        <v>851</v>
      </c>
      <c r="C833" t="s">
        <v>85</v>
      </c>
      <c r="D833" t="s">
        <v>86</v>
      </c>
      <c r="E833" s="1">
        <v>46130</v>
      </c>
      <c r="F833" t="s">
        <v>270</v>
      </c>
      <c r="G833">
        <v>84.56</v>
      </c>
      <c r="H833">
        <v>2026</v>
      </c>
    </row>
    <row r="834" spans="1:8" hidden="1" x14ac:dyDescent="0.25">
      <c r="A834">
        <v>103</v>
      </c>
      <c r="B834" t="s">
        <v>852</v>
      </c>
      <c r="C834" t="s">
        <v>85</v>
      </c>
      <c r="D834" t="s">
        <v>86</v>
      </c>
      <c r="E834" s="1">
        <v>46135</v>
      </c>
      <c r="F834" t="s">
        <v>270</v>
      </c>
      <c r="G834">
        <v>79.03</v>
      </c>
      <c r="H834">
        <v>2026</v>
      </c>
    </row>
    <row r="835" spans="1:8" hidden="1" x14ac:dyDescent="0.25">
      <c r="A835">
        <v>132</v>
      </c>
      <c r="B835" t="s">
        <v>853</v>
      </c>
      <c r="C835" t="s">
        <v>153</v>
      </c>
      <c r="D835" t="s">
        <v>154</v>
      </c>
      <c r="E835" s="1">
        <v>46100</v>
      </c>
      <c r="F835" t="s">
        <v>270</v>
      </c>
      <c r="G835">
        <v>71.319999999999993</v>
      </c>
      <c r="H835">
        <v>2026</v>
      </c>
    </row>
    <row r="836" spans="1:8" x14ac:dyDescent="0.25">
      <c r="A836">
        <v>136</v>
      </c>
      <c r="B836" t="s">
        <v>854</v>
      </c>
      <c r="C836" t="s">
        <v>156</v>
      </c>
      <c r="D836" t="s">
        <v>157</v>
      </c>
      <c r="E836" s="1">
        <v>46068</v>
      </c>
      <c r="F836" t="s">
        <v>270</v>
      </c>
      <c r="G836">
        <v>73</v>
      </c>
      <c r="H836">
        <v>2026</v>
      </c>
    </row>
    <row r="837" spans="1:8" hidden="1" x14ac:dyDescent="0.25">
      <c r="A837">
        <v>157</v>
      </c>
      <c r="B837" t="s">
        <v>855</v>
      </c>
      <c r="C837" t="s">
        <v>9</v>
      </c>
      <c r="D837" t="s">
        <v>10</v>
      </c>
      <c r="E837" s="1">
        <v>46110</v>
      </c>
      <c r="F837" t="s">
        <v>270</v>
      </c>
      <c r="G837">
        <v>80.319999999999993</v>
      </c>
      <c r="H837">
        <v>2026</v>
      </c>
    </row>
    <row r="838" spans="1:8" x14ac:dyDescent="0.25">
      <c r="A838">
        <v>175</v>
      </c>
      <c r="B838" t="s">
        <v>856</v>
      </c>
      <c r="C838" t="s">
        <v>156</v>
      </c>
      <c r="D838" t="s">
        <v>157</v>
      </c>
      <c r="E838" s="1">
        <v>46051</v>
      </c>
      <c r="F838" t="s">
        <v>270</v>
      </c>
      <c r="G838">
        <v>94.89</v>
      </c>
      <c r="H838">
        <v>2026</v>
      </c>
    </row>
    <row r="839" spans="1:8" hidden="1" x14ac:dyDescent="0.25">
      <c r="A839">
        <v>176</v>
      </c>
      <c r="B839" t="s">
        <v>857</v>
      </c>
      <c r="C839" t="s">
        <v>153</v>
      </c>
      <c r="D839" t="s">
        <v>154</v>
      </c>
      <c r="E839" s="1">
        <v>46095</v>
      </c>
      <c r="F839" t="s">
        <v>270</v>
      </c>
      <c r="G839">
        <v>73.599999999999994</v>
      </c>
      <c r="H839">
        <v>2026</v>
      </c>
    </row>
    <row r="840" spans="1:8" hidden="1" x14ac:dyDescent="0.25">
      <c r="A840">
        <v>209</v>
      </c>
      <c r="B840" t="s">
        <v>858</v>
      </c>
      <c r="C840" t="s">
        <v>85</v>
      </c>
      <c r="D840" t="s">
        <v>86</v>
      </c>
      <c r="E840" s="1">
        <v>46044</v>
      </c>
      <c r="F840" t="s">
        <v>270</v>
      </c>
      <c r="G840">
        <v>74.59</v>
      </c>
      <c r="H840">
        <v>2026</v>
      </c>
    </row>
    <row r="841" spans="1:8" hidden="1" x14ac:dyDescent="0.25">
      <c r="A841">
        <v>225</v>
      </c>
      <c r="B841" t="s">
        <v>859</v>
      </c>
      <c r="C841" t="s">
        <v>85</v>
      </c>
      <c r="D841" t="s">
        <v>86</v>
      </c>
      <c r="E841" s="1">
        <v>46094</v>
      </c>
      <c r="F841" t="s">
        <v>270</v>
      </c>
      <c r="G841">
        <v>77.42</v>
      </c>
      <c r="H841">
        <v>2026</v>
      </c>
    </row>
    <row r="842" spans="1:8" hidden="1" x14ac:dyDescent="0.25">
      <c r="A842">
        <v>228</v>
      </c>
      <c r="B842" t="s">
        <v>860</v>
      </c>
      <c r="C842" t="s">
        <v>9</v>
      </c>
      <c r="D842" t="s">
        <v>10</v>
      </c>
      <c r="E842" s="1">
        <v>46078</v>
      </c>
      <c r="F842" t="s">
        <v>270</v>
      </c>
      <c r="G842">
        <v>93.54</v>
      </c>
      <c r="H842">
        <v>2026</v>
      </c>
    </row>
    <row r="843" spans="1:8" x14ac:dyDescent="0.25">
      <c r="A843">
        <v>236</v>
      </c>
      <c r="B843" t="s">
        <v>861</v>
      </c>
      <c r="C843" t="s">
        <v>156</v>
      </c>
      <c r="D843" t="s">
        <v>157</v>
      </c>
      <c r="E843" s="1">
        <v>46072</v>
      </c>
      <c r="F843" t="s">
        <v>270</v>
      </c>
      <c r="G843">
        <v>87.54</v>
      </c>
      <c r="H843">
        <v>2026</v>
      </c>
    </row>
    <row r="844" spans="1:8" hidden="1" x14ac:dyDescent="0.25">
      <c r="A844">
        <v>249</v>
      </c>
      <c r="B844" t="s">
        <v>862</v>
      </c>
      <c r="C844" t="s">
        <v>85</v>
      </c>
      <c r="D844" t="s">
        <v>86</v>
      </c>
      <c r="E844" s="1">
        <v>46136</v>
      </c>
      <c r="F844" t="s">
        <v>270</v>
      </c>
      <c r="G844">
        <v>96.83</v>
      </c>
      <c r="H844">
        <v>2026</v>
      </c>
    </row>
    <row r="845" spans="1:8" hidden="1" x14ac:dyDescent="0.25">
      <c r="A845">
        <v>278</v>
      </c>
      <c r="B845" t="s">
        <v>863</v>
      </c>
      <c r="C845" t="s">
        <v>85</v>
      </c>
      <c r="D845" t="s">
        <v>86</v>
      </c>
      <c r="E845" s="1">
        <v>46052</v>
      </c>
      <c r="F845" t="s">
        <v>270</v>
      </c>
      <c r="G845">
        <v>88.23</v>
      </c>
      <c r="H845">
        <v>2026</v>
      </c>
    </row>
    <row r="846" spans="1:8" x14ac:dyDescent="0.25">
      <c r="A846">
        <v>284</v>
      </c>
      <c r="B846" t="s">
        <v>864</v>
      </c>
      <c r="C846" t="s">
        <v>156</v>
      </c>
      <c r="D846" t="s">
        <v>157</v>
      </c>
      <c r="E846" s="1">
        <v>46030</v>
      </c>
      <c r="F846" t="s">
        <v>270</v>
      </c>
      <c r="G846">
        <v>87.83</v>
      </c>
      <c r="H846">
        <v>2026</v>
      </c>
    </row>
    <row r="847" spans="1:8" hidden="1" x14ac:dyDescent="0.25">
      <c r="A847">
        <v>329</v>
      </c>
      <c r="B847" t="s">
        <v>865</v>
      </c>
      <c r="C847" t="s">
        <v>9</v>
      </c>
      <c r="D847" t="s">
        <v>10</v>
      </c>
      <c r="E847" s="1">
        <v>46105</v>
      </c>
      <c r="F847" t="s">
        <v>270</v>
      </c>
      <c r="G847">
        <v>78.48</v>
      </c>
      <c r="H847">
        <v>2026</v>
      </c>
    </row>
    <row r="848" spans="1:8" hidden="1" x14ac:dyDescent="0.25">
      <c r="A848">
        <v>344</v>
      </c>
      <c r="B848" t="s">
        <v>866</v>
      </c>
      <c r="C848" t="s">
        <v>85</v>
      </c>
      <c r="D848" t="s">
        <v>86</v>
      </c>
      <c r="E848" s="1">
        <v>46077</v>
      </c>
      <c r="F848" t="s">
        <v>270</v>
      </c>
      <c r="G848">
        <v>76.84</v>
      </c>
      <c r="H848">
        <v>2026</v>
      </c>
    </row>
    <row r="849" spans="1:8" hidden="1" x14ac:dyDescent="0.25">
      <c r="A849">
        <v>351</v>
      </c>
      <c r="B849" t="s">
        <v>867</v>
      </c>
      <c r="C849" t="s">
        <v>85</v>
      </c>
      <c r="D849" t="s">
        <v>86</v>
      </c>
      <c r="E849" s="1">
        <v>46072</v>
      </c>
      <c r="F849" t="s">
        <v>270</v>
      </c>
      <c r="G849">
        <v>92.22</v>
      </c>
      <c r="H849">
        <v>2026</v>
      </c>
    </row>
    <row r="850" spans="1:8" hidden="1" x14ac:dyDescent="0.25">
      <c r="A850">
        <v>353</v>
      </c>
      <c r="B850" t="s">
        <v>868</v>
      </c>
      <c r="C850" t="s">
        <v>9</v>
      </c>
      <c r="D850" t="s">
        <v>10</v>
      </c>
      <c r="E850" s="1">
        <v>46064</v>
      </c>
      <c r="F850" t="s">
        <v>270</v>
      </c>
      <c r="G850">
        <v>80.92</v>
      </c>
      <c r="H850">
        <v>2026</v>
      </c>
    </row>
    <row r="851" spans="1:8" hidden="1" x14ac:dyDescent="0.25">
      <c r="A851">
        <v>368</v>
      </c>
      <c r="B851" t="s">
        <v>869</v>
      </c>
      <c r="C851" t="s">
        <v>153</v>
      </c>
      <c r="D851" t="s">
        <v>154</v>
      </c>
      <c r="E851" s="1">
        <v>46075</v>
      </c>
      <c r="F851" t="s">
        <v>270</v>
      </c>
      <c r="G851">
        <v>84.18</v>
      </c>
      <c r="H851">
        <v>2026</v>
      </c>
    </row>
    <row r="852" spans="1:8" hidden="1" x14ac:dyDescent="0.25">
      <c r="A852">
        <v>381</v>
      </c>
      <c r="B852" t="s">
        <v>870</v>
      </c>
      <c r="C852" t="s">
        <v>85</v>
      </c>
      <c r="D852" t="s">
        <v>86</v>
      </c>
      <c r="E852" s="1">
        <v>46145</v>
      </c>
      <c r="F852" t="s">
        <v>270</v>
      </c>
      <c r="G852">
        <v>78.17</v>
      </c>
      <c r="H852">
        <v>2026</v>
      </c>
    </row>
    <row r="853" spans="1:8" hidden="1" x14ac:dyDescent="0.25">
      <c r="A853">
        <v>394</v>
      </c>
      <c r="B853" t="s">
        <v>871</v>
      </c>
      <c r="C853" t="s">
        <v>9</v>
      </c>
      <c r="D853" t="s">
        <v>10</v>
      </c>
      <c r="E853" s="1">
        <v>46099</v>
      </c>
      <c r="F853" t="s">
        <v>270</v>
      </c>
      <c r="G853">
        <v>74.27</v>
      </c>
      <c r="H853">
        <v>2026</v>
      </c>
    </row>
    <row r="854" spans="1:8" hidden="1" x14ac:dyDescent="0.25">
      <c r="A854">
        <v>398</v>
      </c>
      <c r="B854" t="s">
        <v>872</v>
      </c>
      <c r="C854" t="s">
        <v>153</v>
      </c>
      <c r="D854" t="s">
        <v>154</v>
      </c>
      <c r="E854" s="1">
        <v>46127</v>
      </c>
      <c r="F854" t="s">
        <v>270</v>
      </c>
      <c r="G854">
        <v>71.7</v>
      </c>
      <c r="H854">
        <v>2026</v>
      </c>
    </row>
    <row r="855" spans="1:8" hidden="1" x14ac:dyDescent="0.25">
      <c r="A855">
        <v>408</v>
      </c>
      <c r="B855" t="s">
        <v>873</v>
      </c>
      <c r="C855" t="s">
        <v>9</v>
      </c>
      <c r="D855" t="s">
        <v>10</v>
      </c>
      <c r="E855" s="1">
        <v>46040</v>
      </c>
      <c r="F855" t="s">
        <v>270</v>
      </c>
      <c r="G855">
        <v>91.95</v>
      </c>
      <c r="H855">
        <v>2026</v>
      </c>
    </row>
    <row r="856" spans="1:8" x14ac:dyDescent="0.25">
      <c r="A856">
        <v>423</v>
      </c>
      <c r="B856" t="s">
        <v>874</v>
      </c>
      <c r="C856" t="s">
        <v>156</v>
      </c>
      <c r="D856" t="s">
        <v>157</v>
      </c>
      <c r="E856" s="1">
        <v>46132</v>
      </c>
      <c r="F856" t="s">
        <v>270</v>
      </c>
      <c r="G856">
        <v>87.37</v>
      </c>
      <c r="H856">
        <v>2026</v>
      </c>
    </row>
    <row r="857" spans="1:8" x14ac:dyDescent="0.25">
      <c r="A857">
        <v>447</v>
      </c>
      <c r="B857" t="s">
        <v>875</v>
      </c>
      <c r="C857" t="s">
        <v>156</v>
      </c>
      <c r="D857" t="s">
        <v>157</v>
      </c>
      <c r="E857" s="1">
        <v>46027</v>
      </c>
      <c r="F857" t="s">
        <v>270</v>
      </c>
      <c r="G857">
        <v>92.89</v>
      </c>
      <c r="H857">
        <v>2026</v>
      </c>
    </row>
    <row r="858" spans="1:8" hidden="1" x14ac:dyDescent="0.25">
      <c r="A858">
        <v>451</v>
      </c>
      <c r="B858" t="s">
        <v>876</v>
      </c>
      <c r="C858" t="s">
        <v>153</v>
      </c>
      <c r="D858" t="s">
        <v>154</v>
      </c>
      <c r="E858" s="1">
        <v>46025</v>
      </c>
      <c r="F858" t="s">
        <v>270</v>
      </c>
      <c r="G858">
        <v>98.08</v>
      </c>
      <c r="H858">
        <v>2026</v>
      </c>
    </row>
    <row r="859" spans="1:8" x14ac:dyDescent="0.25">
      <c r="A859">
        <v>456</v>
      </c>
      <c r="B859" t="s">
        <v>877</v>
      </c>
      <c r="C859" t="s">
        <v>156</v>
      </c>
      <c r="D859" t="s">
        <v>157</v>
      </c>
      <c r="E859" s="1">
        <v>46067</v>
      </c>
      <c r="F859" t="s">
        <v>270</v>
      </c>
      <c r="G859">
        <v>73.489999999999995</v>
      </c>
      <c r="H859">
        <v>2026</v>
      </c>
    </row>
    <row r="860" spans="1:8" hidden="1" x14ac:dyDescent="0.25">
      <c r="A860">
        <v>458</v>
      </c>
      <c r="B860" t="s">
        <v>878</v>
      </c>
      <c r="C860" t="s">
        <v>9</v>
      </c>
      <c r="D860" t="s">
        <v>10</v>
      </c>
      <c r="E860" s="1">
        <v>46103</v>
      </c>
      <c r="F860" t="s">
        <v>270</v>
      </c>
      <c r="G860">
        <v>95.83</v>
      </c>
      <c r="H860">
        <v>2026</v>
      </c>
    </row>
    <row r="861" spans="1:8" x14ac:dyDescent="0.25">
      <c r="A861">
        <v>466</v>
      </c>
      <c r="B861" t="s">
        <v>879</v>
      </c>
      <c r="C861" t="s">
        <v>156</v>
      </c>
      <c r="D861" t="s">
        <v>157</v>
      </c>
      <c r="E861" s="1">
        <v>46147</v>
      </c>
      <c r="F861" t="s">
        <v>270</v>
      </c>
      <c r="G861">
        <v>94.39</v>
      </c>
      <c r="H861">
        <v>2026</v>
      </c>
    </row>
    <row r="862" spans="1:8" hidden="1" x14ac:dyDescent="0.25">
      <c r="A862">
        <v>475</v>
      </c>
      <c r="B862" t="s">
        <v>880</v>
      </c>
      <c r="C862" t="s">
        <v>153</v>
      </c>
      <c r="D862" t="s">
        <v>154</v>
      </c>
      <c r="E862" s="1">
        <v>46148</v>
      </c>
      <c r="F862" t="s">
        <v>270</v>
      </c>
      <c r="G862">
        <v>92.45</v>
      </c>
      <c r="H862">
        <v>2026</v>
      </c>
    </row>
    <row r="863" spans="1:8" hidden="1" x14ac:dyDescent="0.25">
      <c r="A863">
        <v>481</v>
      </c>
      <c r="B863" t="s">
        <v>881</v>
      </c>
      <c r="C863" t="s">
        <v>9</v>
      </c>
      <c r="D863" t="s">
        <v>10</v>
      </c>
      <c r="E863" s="1">
        <v>46052</v>
      </c>
      <c r="F863" t="s">
        <v>270</v>
      </c>
      <c r="G863">
        <v>98.75</v>
      </c>
      <c r="H863">
        <v>2026</v>
      </c>
    </row>
    <row r="864" spans="1:8" hidden="1" x14ac:dyDescent="0.25">
      <c r="A864">
        <v>496</v>
      </c>
      <c r="B864" t="s">
        <v>882</v>
      </c>
      <c r="C864" t="s">
        <v>85</v>
      </c>
      <c r="D864" t="s">
        <v>86</v>
      </c>
      <c r="E864" s="1">
        <v>46030</v>
      </c>
      <c r="F864" t="s">
        <v>270</v>
      </c>
      <c r="G864">
        <v>81.93</v>
      </c>
      <c r="H864">
        <v>2026</v>
      </c>
    </row>
    <row r="865" spans="1:8" x14ac:dyDescent="0.25">
      <c r="A865">
        <v>503</v>
      </c>
      <c r="B865" t="s">
        <v>883</v>
      </c>
      <c r="C865" t="s">
        <v>156</v>
      </c>
      <c r="D865" t="s">
        <v>157</v>
      </c>
      <c r="E865" s="1">
        <v>46060</v>
      </c>
      <c r="F865" t="s">
        <v>270</v>
      </c>
      <c r="G865">
        <v>93.32</v>
      </c>
      <c r="H865">
        <v>2026</v>
      </c>
    </row>
    <row r="866" spans="1:8" hidden="1" x14ac:dyDescent="0.25">
      <c r="A866">
        <v>525</v>
      </c>
      <c r="B866" t="s">
        <v>884</v>
      </c>
      <c r="C866" t="s">
        <v>9</v>
      </c>
      <c r="D866" t="s">
        <v>10</v>
      </c>
      <c r="E866" s="1">
        <v>46029</v>
      </c>
      <c r="F866" t="s">
        <v>270</v>
      </c>
      <c r="G866">
        <v>97.53</v>
      </c>
      <c r="H866">
        <v>2026</v>
      </c>
    </row>
    <row r="867" spans="1:8" x14ac:dyDescent="0.25">
      <c r="A867">
        <v>543</v>
      </c>
      <c r="B867" t="s">
        <v>885</v>
      </c>
      <c r="C867" t="s">
        <v>156</v>
      </c>
      <c r="D867" t="s">
        <v>157</v>
      </c>
      <c r="E867" s="1">
        <v>46139</v>
      </c>
      <c r="F867" t="s">
        <v>270</v>
      </c>
      <c r="G867">
        <v>76.55</v>
      </c>
      <c r="H867">
        <v>2026</v>
      </c>
    </row>
    <row r="868" spans="1:8" hidden="1" x14ac:dyDescent="0.25">
      <c r="A868">
        <v>547</v>
      </c>
      <c r="B868" t="s">
        <v>886</v>
      </c>
      <c r="C868" t="s">
        <v>9</v>
      </c>
      <c r="D868" t="s">
        <v>10</v>
      </c>
      <c r="E868" s="1">
        <v>46027</v>
      </c>
      <c r="F868" t="s">
        <v>270</v>
      </c>
      <c r="G868">
        <v>73.37</v>
      </c>
      <c r="H868">
        <v>2026</v>
      </c>
    </row>
    <row r="869" spans="1:8" hidden="1" x14ac:dyDescent="0.25">
      <c r="A869">
        <v>550</v>
      </c>
      <c r="B869" t="s">
        <v>887</v>
      </c>
      <c r="C869" t="s">
        <v>153</v>
      </c>
      <c r="D869" t="s">
        <v>154</v>
      </c>
      <c r="E869" s="1">
        <v>46078</v>
      </c>
      <c r="F869" t="s">
        <v>270</v>
      </c>
      <c r="G869">
        <v>91.55</v>
      </c>
      <c r="H869">
        <v>2026</v>
      </c>
    </row>
    <row r="870" spans="1:8" x14ac:dyDescent="0.25">
      <c r="A870">
        <v>551</v>
      </c>
      <c r="B870" t="s">
        <v>888</v>
      </c>
      <c r="C870" t="s">
        <v>156</v>
      </c>
      <c r="D870" t="s">
        <v>157</v>
      </c>
      <c r="E870" s="1">
        <v>46111</v>
      </c>
      <c r="F870" t="s">
        <v>270</v>
      </c>
      <c r="G870">
        <v>97.92</v>
      </c>
      <c r="H870">
        <v>2026</v>
      </c>
    </row>
    <row r="871" spans="1:8" hidden="1" x14ac:dyDescent="0.25">
      <c r="A871">
        <v>558</v>
      </c>
      <c r="B871" t="s">
        <v>889</v>
      </c>
      <c r="C871" t="s">
        <v>9</v>
      </c>
      <c r="D871" t="s">
        <v>10</v>
      </c>
      <c r="E871" s="1">
        <v>46112</v>
      </c>
      <c r="F871" t="s">
        <v>270</v>
      </c>
      <c r="G871">
        <v>83.34</v>
      </c>
      <c r="H871">
        <v>2026</v>
      </c>
    </row>
    <row r="872" spans="1:8" x14ac:dyDescent="0.25">
      <c r="A872">
        <v>566</v>
      </c>
      <c r="B872" t="s">
        <v>890</v>
      </c>
      <c r="C872" t="s">
        <v>156</v>
      </c>
      <c r="D872" t="s">
        <v>157</v>
      </c>
      <c r="E872" s="1">
        <v>46081</v>
      </c>
      <c r="F872" t="s">
        <v>270</v>
      </c>
      <c r="G872">
        <v>83.85</v>
      </c>
      <c r="H872">
        <v>2026</v>
      </c>
    </row>
    <row r="873" spans="1:8" hidden="1" x14ac:dyDescent="0.25">
      <c r="A873">
        <v>571</v>
      </c>
      <c r="B873" t="s">
        <v>891</v>
      </c>
      <c r="C873" t="s">
        <v>85</v>
      </c>
      <c r="D873" t="s">
        <v>86</v>
      </c>
      <c r="E873" s="1">
        <v>46114</v>
      </c>
      <c r="F873" t="s">
        <v>270</v>
      </c>
      <c r="G873">
        <v>97.13</v>
      </c>
      <c r="H873">
        <v>2026</v>
      </c>
    </row>
    <row r="874" spans="1:8" hidden="1" x14ac:dyDescent="0.25">
      <c r="A874">
        <v>574</v>
      </c>
      <c r="B874" t="s">
        <v>892</v>
      </c>
      <c r="C874" t="s">
        <v>153</v>
      </c>
      <c r="D874" t="s">
        <v>154</v>
      </c>
      <c r="E874" s="1">
        <v>46039</v>
      </c>
      <c r="F874" t="s">
        <v>270</v>
      </c>
      <c r="G874">
        <v>78.37</v>
      </c>
      <c r="H874">
        <v>2026</v>
      </c>
    </row>
    <row r="875" spans="1:8" x14ac:dyDescent="0.25">
      <c r="A875">
        <v>582</v>
      </c>
      <c r="B875" t="s">
        <v>893</v>
      </c>
      <c r="C875" t="s">
        <v>156</v>
      </c>
      <c r="D875" t="s">
        <v>157</v>
      </c>
      <c r="E875" s="1">
        <v>46132</v>
      </c>
      <c r="F875" t="s">
        <v>270</v>
      </c>
      <c r="G875">
        <v>85.94</v>
      </c>
      <c r="H875">
        <v>2026</v>
      </c>
    </row>
    <row r="876" spans="1:8" hidden="1" x14ac:dyDescent="0.25">
      <c r="A876">
        <v>583</v>
      </c>
      <c r="B876" t="s">
        <v>894</v>
      </c>
      <c r="C876" t="s">
        <v>153</v>
      </c>
      <c r="D876" t="s">
        <v>154</v>
      </c>
      <c r="E876" s="1">
        <v>46076</v>
      </c>
      <c r="F876" t="s">
        <v>270</v>
      </c>
      <c r="G876">
        <v>92.97</v>
      </c>
      <c r="H876">
        <v>2026</v>
      </c>
    </row>
    <row r="877" spans="1:8" hidden="1" x14ac:dyDescent="0.25">
      <c r="A877">
        <v>619</v>
      </c>
      <c r="B877" t="s">
        <v>895</v>
      </c>
      <c r="C877" t="s">
        <v>153</v>
      </c>
      <c r="D877" t="s">
        <v>154</v>
      </c>
      <c r="E877" s="1">
        <v>46089</v>
      </c>
      <c r="F877" t="s">
        <v>270</v>
      </c>
      <c r="G877">
        <v>77.41</v>
      </c>
      <c r="H877">
        <v>2026</v>
      </c>
    </row>
    <row r="878" spans="1:8" hidden="1" x14ac:dyDescent="0.25">
      <c r="A878">
        <v>621</v>
      </c>
      <c r="B878" t="s">
        <v>896</v>
      </c>
      <c r="C878" t="s">
        <v>153</v>
      </c>
      <c r="D878" t="s">
        <v>154</v>
      </c>
      <c r="E878" s="1">
        <v>46107</v>
      </c>
      <c r="F878" t="s">
        <v>270</v>
      </c>
      <c r="G878">
        <v>81.03</v>
      </c>
      <c r="H878">
        <v>2026</v>
      </c>
    </row>
    <row r="879" spans="1:8" hidden="1" x14ac:dyDescent="0.25">
      <c r="A879">
        <v>630</v>
      </c>
      <c r="B879" t="s">
        <v>897</v>
      </c>
      <c r="C879" t="s">
        <v>153</v>
      </c>
      <c r="D879" t="s">
        <v>154</v>
      </c>
      <c r="E879" s="1">
        <v>46137</v>
      </c>
      <c r="F879" t="s">
        <v>270</v>
      </c>
      <c r="G879">
        <v>92.26</v>
      </c>
      <c r="H879">
        <v>2026</v>
      </c>
    </row>
    <row r="880" spans="1:8" hidden="1" x14ac:dyDescent="0.25">
      <c r="A880">
        <v>632</v>
      </c>
      <c r="B880" t="s">
        <v>898</v>
      </c>
      <c r="C880" t="s">
        <v>85</v>
      </c>
      <c r="D880" t="s">
        <v>86</v>
      </c>
      <c r="E880" s="1">
        <v>46027</v>
      </c>
      <c r="F880" t="s">
        <v>270</v>
      </c>
      <c r="G880">
        <v>73.319999999999993</v>
      </c>
      <c r="H880">
        <v>2026</v>
      </c>
    </row>
    <row r="881" spans="1:8" hidden="1" x14ac:dyDescent="0.25">
      <c r="A881">
        <v>642</v>
      </c>
      <c r="B881" t="s">
        <v>899</v>
      </c>
      <c r="C881" t="s">
        <v>9</v>
      </c>
      <c r="D881" t="s">
        <v>10</v>
      </c>
      <c r="E881" s="1">
        <v>46144</v>
      </c>
      <c r="F881" t="s">
        <v>270</v>
      </c>
      <c r="G881">
        <v>79.52</v>
      </c>
      <c r="H881">
        <v>2026</v>
      </c>
    </row>
    <row r="882" spans="1:8" hidden="1" x14ac:dyDescent="0.25">
      <c r="A882">
        <v>657</v>
      </c>
      <c r="B882" t="s">
        <v>900</v>
      </c>
      <c r="C882" t="s">
        <v>85</v>
      </c>
      <c r="D882" t="s">
        <v>86</v>
      </c>
      <c r="E882" s="1">
        <v>46147</v>
      </c>
      <c r="F882" t="s">
        <v>270</v>
      </c>
      <c r="G882">
        <v>73.400000000000006</v>
      </c>
      <c r="H882">
        <v>2026</v>
      </c>
    </row>
    <row r="883" spans="1:8" hidden="1" x14ac:dyDescent="0.25">
      <c r="A883">
        <v>658</v>
      </c>
      <c r="B883" t="s">
        <v>901</v>
      </c>
      <c r="C883" t="s">
        <v>85</v>
      </c>
      <c r="D883" t="s">
        <v>86</v>
      </c>
      <c r="E883" s="1">
        <v>46114</v>
      </c>
      <c r="F883" t="s">
        <v>270</v>
      </c>
      <c r="G883">
        <v>73.31</v>
      </c>
      <c r="H883">
        <v>2026</v>
      </c>
    </row>
    <row r="884" spans="1:8" hidden="1" x14ac:dyDescent="0.25">
      <c r="A884">
        <v>696</v>
      </c>
      <c r="B884" t="s">
        <v>902</v>
      </c>
      <c r="C884" t="s">
        <v>9</v>
      </c>
      <c r="D884" t="s">
        <v>10</v>
      </c>
      <c r="E884" s="1">
        <v>46050</v>
      </c>
      <c r="F884" t="s">
        <v>270</v>
      </c>
      <c r="G884">
        <v>80.819999999999993</v>
      </c>
      <c r="H884">
        <v>2026</v>
      </c>
    </row>
    <row r="885" spans="1:8" hidden="1" x14ac:dyDescent="0.25">
      <c r="A885">
        <v>699</v>
      </c>
      <c r="B885" t="s">
        <v>903</v>
      </c>
      <c r="C885" t="s">
        <v>9</v>
      </c>
      <c r="D885" t="s">
        <v>10</v>
      </c>
      <c r="E885" s="1">
        <v>46066</v>
      </c>
      <c r="F885" t="s">
        <v>270</v>
      </c>
      <c r="G885">
        <v>90.37</v>
      </c>
      <c r="H885">
        <v>2026</v>
      </c>
    </row>
    <row r="886" spans="1:8" hidden="1" x14ac:dyDescent="0.25">
      <c r="A886">
        <v>717</v>
      </c>
      <c r="B886" t="s">
        <v>904</v>
      </c>
      <c r="C886" t="s">
        <v>85</v>
      </c>
      <c r="D886" t="s">
        <v>86</v>
      </c>
      <c r="E886" s="1">
        <v>46142</v>
      </c>
      <c r="F886" t="s">
        <v>270</v>
      </c>
      <c r="G886">
        <v>84.6</v>
      </c>
      <c r="H886">
        <v>2026</v>
      </c>
    </row>
    <row r="887" spans="1:8" hidden="1" x14ac:dyDescent="0.25">
      <c r="A887">
        <v>785</v>
      </c>
      <c r="B887" t="s">
        <v>905</v>
      </c>
      <c r="C887" t="s">
        <v>9</v>
      </c>
      <c r="D887" t="s">
        <v>10</v>
      </c>
      <c r="E887" s="1">
        <v>46094</v>
      </c>
      <c r="F887" t="s">
        <v>270</v>
      </c>
      <c r="G887">
        <v>81.58</v>
      </c>
      <c r="H887">
        <v>2026</v>
      </c>
    </row>
    <row r="888" spans="1:8" hidden="1" x14ac:dyDescent="0.25">
      <c r="A888">
        <v>800</v>
      </c>
      <c r="B888" t="s">
        <v>906</v>
      </c>
      <c r="C888" t="s">
        <v>153</v>
      </c>
      <c r="D888" t="s">
        <v>154</v>
      </c>
      <c r="E888" s="1">
        <v>46141</v>
      </c>
      <c r="F888" t="s">
        <v>270</v>
      </c>
      <c r="G888">
        <v>82.21</v>
      </c>
      <c r="H888">
        <v>2026</v>
      </c>
    </row>
    <row r="889" spans="1:8" hidden="1" x14ac:dyDescent="0.25">
      <c r="A889">
        <v>829</v>
      </c>
      <c r="B889" t="s">
        <v>907</v>
      </c>
      <c r="C889" t="s">
        <v>9</v>
      </c>
      <c r="D889" t="s">
        <v>10</v>
      </c>
      <c r="E889" s="1">
        <v>46062</v>
      </c>
      <c r="F889" t="s">
        <v>270</v>
      </c>
      <c r="G889">
        <v>93.54</v>
      </c>
      <c r="H889">
        <v>2026</v>
      </c>
    </row>
    <row r="890" spans="1:8" hidden="1" x14ac:dyDescent="0.25">
      <c r="A890">
        <v>843</v>
      </c>
      <c r="B890" t="s">
        <v>908</v>
      </c>
      <c r="C890" t="s">
        <v>85</v>
      </c>
      <c r="D890" t="s">
        <v>86</v>
      </c>
      <c r="E890" s="1">
        <v>46065</v>
      </c>
      <c r="F890" t="s">
        <v>270</v>
      </c>
      <c r="G890">
        <v>88.9</v>
      </c>
      <c r="H890">
        <v>2026</v>
      </c>
    </row>
    <row r="891" spans="1:8" hidden="1" x14ac:dyDescent="0.25">
      <c r="A891">
        <v>848</v>
      </c>
      <c r="B891" t="s">
        <v>909</v>
      </c>
      <c r="C891" t="s">
        <v>9</v>
      </c>
      <c r="D891" t="s">
        <v>10</v>
      </c>
      <c r="E891" s="1">
        <v>46071</v>
      </c>
      <c r="F891" t="s">
        <v>270</v>
      </c>
      <c r="G891">
        <v>91.63</v>
      </c>
      <c r="H891">
        <v>2026</v>
      </c>
    </row>
    <row r="892" spans="1:8" hidden="1" x14ac:dyDescent="0.25">
      <c r="A892">
        <v>857</v>
      </c>
      <c r="B892" t="s">
        <v>910</v>
      </c>
      <c r="C892" t="s">
        <v>9</v>
      </c>
      <c r="D892" t="s">
        <v>10</v>
      </c>
      <c r="E892" s="1">
        <v>46047</v>
      </c>
      <c r="F892" t="s">
        <v>270</v>
      </c>
      <c r="G892">
        <v>85.12</v>
      </c>
      <c r="H892">
        <v>2026</v>
      </c>
    </row>
    <row r="893" spans="1:8" hidden="1" x14ac:dyDescent="0.25">
      <c r="A893">
        <v>869</v>
      </c>
      <c r="B893" t="s">
        <v>911</v>
      </c>
      <c r="C893" t="s">
        <v>153</v>
      </c>
      <c r="D893" t="s">
        <v>154</v>
      </c>
      <c r="E893" s="1">
        <v>46135</v>
      </c>
      <c r="F893" t="s">
        <v>270</v>
      </c>
      <c r="G893">
        <v>86.3</v>
      </c>
      <c r="H893">
        <v>2026</v>
      </c>
    </row>
    <row r="894" spans="1:8" hidden="1" x14ac:dyDescent="0.25">
      <c r="A894">
        <v>874</v>
      </c>
      <c r="B894" t="s">
        <v>912</v>
      </c>
      <c r="C894" t="s">
        <v>85</v>
      </c>
      <c r="D894" t="s">
        <v>86</v>
      </c>
      <c r="E894" s="1">
        <v>46109</v>
      </c>
      <c r="F894" t="s">
        <v>270</v>
      </c>
      <c r="G894">
        <v>71.83</v>
      </c>
      <c r="H894">
        <v>2026</v>
      </c>
    </row>
    <row r="895" spans="1:8" hidden="1" x14ac:dyDescent="0.25">
      <c r="A895">
        <v>899</v>
      </c>
      <c r="B895" t="s">
        <v>913</v>
      </c>
      <c r="C895" t="s">
        <v>153</v>
      </c>
      <c r="D895" t="s">
        <v>154</v>
      </c>
      <c r="E895" s="1">
        <v>46031</v>
      </c>
      <c r="F895" t="s">
        <v>270</v>
      </c>
      <c r="G895">
        <v>76.27</v>
      </c>
      <c r="H895">
        <v>2026</v>
      </c>
    </row>
    <row r="896" spans="1:8" x14ac:dyDescent="0.25">
      <c r="A896">
        <v>919</v>
      </c>
      <c r="B896" t="s">
        <v>914</v>
      </c>
      <c r="C896" t="s">
        <v>156</v>
      </c>
      <c r="D896" t="s">
        <v>157</v>
      </c>
      <c r="E896" s="1">
        <v>46038</v>
      </c>
      <c r="F896" t="s">
        <v>270</v>
      </c>
      <c r="G896">
        <v>87.32</v>
      </c>
      <c r="H896">
        <v>2026</v>
      </c>
    </row>
    <row r="897" spans="1:8" x14ac:dyDescent="0.25">
      <c r="A897">
        <v>955</v>
      </c>
      <c r="B897" t="s">
        <v>915</v>
      </c>
      <c r="C897" t="s">
        <v>156</v>
      </c>
      <c r="D897" t="s">
        <v>157</v>
      </c>
      <c r="E897" s="1">
        <v>46049</v>
      </c>
      <c r="F897" t="s">
        <v>270</v>
      </c>
      <c r="G897">
        <v>91.09</v>
      </c>
      <c r="H897">
        <v>2026</v>
      </c>
    </row>
    <row r="898" spans="1:8" hidden="1" x14ac:dyDescent="0.25">
      <c r="A898">
        <v>963</v>
      </c>
      <c r="B898" t="s">
        <v>916</v>
      </c>
      <c r="C898" t="s">
        <v>9</v>
      </c>
      <c r="D898" t="s">
        <v>10</v>
      </c>
      <c r="E898" s="1">
        <v>46138</v>
      </c>
      <c r="F898" t="s">
        <v>270</v>
      </c>
      <c r="G898">
        <v>89.63</v>
      </c>
      <c r="H898">
        <v>2026</v>
      </c>
    </row>
    <row r="899" spans="1:8" hidden="1" x14ac:dyDescent="0.25">
      <c r="A899">
        <v>976</v>
      </c>
      <c r="B899" t="s">
        <v>917</v>
      </c>
      <c r="C899" t="s">
        <v>9</v>
      </c>
      <c r="D899" t="s">
        <v>10</v>
      </c>
      <c r="E899" s="1">
        <v>46117</v>
      </c>
      <c r="F899" t="s">
        <v>270</v>
      </c>
      <c r="G899">
        <v>96.66</v>
      </c>
      <c r="H899">
        <v>2026</v>
      </c>
    </row>
    <row r="900" spans="1:8" hidden="1" x14ac:dyDescent="0.25">
      <c r="A900">
        <v>1000</v>
      </c>
      <c r="B900" t="s">
        <v>918</v>
      </c>
      <c r="C900" t="s">
        <v>85</v>
      </c>
      <c r="D900" t="s">
        <v>86</v>
      </c>
      <c r="E900" s="1">
        <v>46043</v>
      </c>
      <c r="F900" t="s">
        <v>270</v>
      </c>
      <c r="G900">
        <v>72.69</v>
      </c>
      <c r="H900">
        <v>2026</v>
      </c>
    </row>
    <row r="901" spans="1:8" hidden="1" x14ac:dyDescent="0.25">
      <c r="A901">
        <v>18</v>
      </c>
      <c r="B901" t="s">
        <v>919</v>
      </c>
      <c r="C901" t="s">
        <v>85</v>
      </c>
      <c r="D901" t="s">
        <v>86</v>
      </c>
      <c r="E901" s="1">
        <v>46131</v>
      </c>
      <c r="F901" t="s">
        <v>11</v>
      </c>
      <c r="G901">
        <v>86.68</v>
      </c>
      <c r="H901">
        <v>2026</v>
      </c>
    </row>
    <row r="902" spans="1:8" x14ac:dyDescent="0.25">
      <c r="A902">
        <v>22</v>
      </c>
      <c r="B902" t="s">
        <v>920</v>
      </c>
      <c r="C902" t="s">
        <v>156</v>
      </c>
      <c r="D902" t="s">
        <v>157</v>
      </c>
      <c r="E902" s="1">
        <v>46066</v>
      </c>
      <c r="F902" t="s">
        <v>11</v>
      </c>
      <c r="G902">
        <v>85.03</v>
      </c>
      <c r="H902">
        <v>2026</v>
      </c>
    </row>
    <row r="903" spans="1:8" hidden="1" x14ac:dyDescent="0.25">
      <c r="A903">
        <v>23</v>
      </c>
      <c r="B903" t="s">
        <v>921</v>
      </c>
      <c r="C903" t="s">
        <v>85</v>
      </c>
      <c r="D903" t="s">
        <v>86</v>
      </c>
      <c r="E903" s="1">
        <v>46114</v>
      </c>
      <c r="F903" t="s">
        <v>11</v>
      </c>
      <c r="G903">
        <v>86.12</v>
      </c>
      <c r="H903">
        <v>2026</v>
      </c>
    </row>
    <row r="904" spans="1:8" hidden="1" x14ac:dyDescent="0.25">
      <c r="A904">
        <v>24</v>
      </c>
      <c r="B904" t="s">
        <v>922</v>
      </c>
      <c r="C904" t="s">
        <v>153</v>
      </c>
      <c r="D904" t="s">
        <v>154</v>
      </c>
      <c r="E904" s="1">
        <v>46114</v>
      </c>
      <c r="F904" t="s">
        <v>11</v>
      </c>
      <c r="G904">
        <v>80.83</v>
      </c>
      <c r="H904">
        <v>2026</v>
      </c>
    </row>
    <row r="905" spans="1:8" x14ac:dyDescent="0.25">
      <c r="A905">
        <v>47</v>
      </c>
      <c r="B905" t="s">
        <v>923</v>
      </c>
      <c r="C905" t="s">
        <v>156</v>
      </c>
      <c r="D905" t="s">
        <v>157</v>
      </c>
      <c r="E905" s="1">
        <v>46083</v>
      </c>
      <c r="F905" t="s">
        <v>11</v>
      </c>
      <c r="G905">
        <v>93.93</v>
      </c>
      <c r="H905">
        <v>2026</v>
      </c>
    </row>
    <row r="906" spans="1:8" hidden="1" x14ac:dyDescent="0.25">
      <c r="A906">
        <v>50</v>
      </c>
      <c r="B906" t="s">
        <v>924</v>
      </c>
      <c r="C906" t="s">
        <v>85</v>
      </c>
      <c r="D906" t="s">
        <v>86</v>
      </c>
      <c r="E906" s="1">
        <v>46057</v>
      </c>
      <c r="F906" t="s">
        <v>11</v>
      </c>
      <c r="G906">
        <v>77.959999999999994</v>
      </c>
      <c r="H906">
        <v>2026</v>
      </c>
    </row>
    <row r="907" spans="1:8" hidden="1" x14ac:dyDescent="0.25">
      <c r="A907">
        <v>63</v>
      </c>
      <c r="B907" t="s">
        <v>925</v>
      </c>
      <c r="C907" t="s">
        <v>85</v>
      </c>
      <c r="D907" t="s">
        <v>86</v>
      </c>
      <c r="E907" s="1">
        <v>46096</v>
      </c>
      <c r="F907" t="s">
        <v>11</v>
      </c>
      <c r="G907">
        <v>85.96</v>
      </c>
      <c r="H907">
        <v>2026</v>
      </c>
    </row>
    <row r="908" spans="1:8" x14ac:dyDescent="0.25">
      <c r="A908">
        <v>93</v>
      </c>
      <c r="B908" t="s">
        <v>926</v>
      </c>
      <c r="C908" t="s">
        <v>156</v>
      </c>
      <c r="D908" t="s">
        <v>157</v>
      </c>
      <c r="E908" s="1">
        <v>46114</v>
      </c>
      <c r="F908" t="s">
        <v>11</v>
      </c>
      <c r="G908">
        <v>85.64</v>
      </c>
      <c r="H908">
        <v>2026</v>
      </c>
    </row>
    <row r="909" spans="1:8" x14ac:dyDescent="0.25">
      <c r="A909">
        <v>95</v>
      </c>
      <c r="B909" t="s">
        <v>927</v>
      </c>
      <c r="C909" t="s">
        <v>156</v>
      </c>
      <c r="D909" t="s">
        <v>157</v>
      </c>
      <c r="E909" s="1">
        <v>46113</v>
      </c>
      <c r="F909" t="s">
        <v>11</v>
      </c>
      <c r="G909">
        <v>99.79</v>
      </c>
      <c r="H909">
        <v>2026</v>
      </c>
    </row>
    <row r="910" spans="1:8" x14ac:dyDescent="0.25">
      <c r="A910">
        <v>96</v>
      </c>
      <c r="B910" t="s">
        <v>928</v>
      </c>
      <c r="C910" t="s">
        <v>156</v>
      </c>
      <c r="D910" t="s">
        <v>157</v>
      </c>
      <c r="E910" s="1">
        <v>46073</v>
      </c>
      <c r="F910" t="s">
        <v>11</v>
      </c>
      <c r="G910">
        <v>90.05</v>
      </c>
      <c r="H910">
        <v>2026</v>
      </c>
    </row>
    <row r="911" spans="1:8" hidden="1" x14ac:dyDescent="0.25">
      <c r="A911">
        <v>120</v>
      </c>
      <c r="B911" t="s">
        <v>929</v>
      </c>
      <c r="C911" t="s">
        <v>153</v>
      </c>
      <c r="D911" t="s">
        <v>154</v>
      </c>
      <c r="E911" s="1">
        <v>46046</v>
      </c>
      <c r="F911" t="s">
        <v>11</v>
      </c>
      <c r="G911">
        <v>77.19</v>
      </c>
      <c r="H911">
        <v>2026</v>
      </c>
    </row>
    <row r="912" spans="1:8" hidden="1" x14ac:dyDescent="0.25">
      <c r="A912">
        <v>128</v>
      </c>
      <c r="B912" t="s">
        <v>930</v>
      </c>
      <c r="C912" t="s">
        <v>9</v>
      </c>
      <c r="D912" t="s">
        <v>10</v>
      </c>
      <c r="E912" s="1">
        <v>46030</v>
      </c>
      <c r="F912" t="s">
        <v>11</v>
      </c>
      <c r="G912">
        <v>86.41</v>
      </c>
      <c r="H912">
        <v>2026</v>
      </c>
    </row>
    <row r="913" spans="1:8" x14ac:dyDescent="0.25">
      <c r="A913">
        <v>141</v>
      </c>
      <c r="B913" t="s">
        <v>931</v>
      </c>
      <c r="C913" t="s">
        <v>156</v>
      </c>
      <c r="D913" t="s">
        <v>157</v>
      </c>
      <c r="E913" s="1">
        <v>46026</v>
      </c>
      <c r="F913" t="s">
        <v>11</v>
      </c>
      <c r="G913">
        <v>92.29</v>
      </c>
      <c r="H913">
        <v>2026</v>
      </c>
    </row>
    <row r="914" spans="1:8" hidden="1" x14ac:dyDescent="0.25">
      <c r="A914">
        <v>164</v>
      </c>
      <c r="B914" t="s">
        <v>932</v>
      </c>
      <c r="C914" t="s">
        <v>9</v>
      </c>
      <c r="D914" t="s">
        <v>10</v>
      </c>
      <c r="E914" s="1">
        <v>46082</v>
      </c>
      <c r="F914" t="s">
        <v>11</v>
      </c>
      <c r="G914">
        <v>97.79</v>
      </c>
      <c r="H914">
        <v>2026</v>
      </c>
    </row>
    <row r="915" spans="1:8" hidden="1" x14ac:dyDescent="0.25">
      <c r="A915">
        <v>197</v>
      </c>
      <c r="B915" t="s">
        <v>933</v>
      </c>
      <c r="C915" t="s">
        <v>9</v>
      </c>
      <c r="D915" t="s">
        <v>10</v>
      </c>
      <c r="E915" s="1">
        <v>46126</v>
      </c>
      <c r="F915" t="s">
        <v>11</v>
      </c>
      <c r="G915">
        <v>94.81</v>
      </c>
      <c r="H915">
        <v>2026</v>
      </c>
    </row>
    <row r="916" spans="1:8" hidden="1" x14ac:dyDescent="0.25">
      <c r="A916">
        <v>212</v>
      </c>
      <c r="B916" t="s">
        <v>934</v>
      </c>
      <c r="C916" t="s">
        <v>85</v>
      </c>
      <c r="D916" t="s">
        <v>86</v>
      </c>
      <c r="E916" s="1">
        <v>46126</v>
      </c>
      <c r="F916" t="s">
        <v>11</v>
      </c>
      <c r="G916">
        <v>87.18</v>
      </c>
      <c r="H916">
        <v>2026</v>
      </c>
    </row>
    <row r="917" spans="1:8" hidden="1" x14ac:dyDescent="0.25">
      <c r="A917">
        <v>214</v>
      </c>
      <c r="B917" t="s">
        <v>935</v>
      </c>
      <c r="C917" t="s">
        <v>9</v>
      </c>
      <c r="D917" t="s">
        <v>10</v>
      </c>
      <c r="E917" s="1">
        <v>46092</v>
      </c>
      <c r="F917" t="s">
        <v>11</v>
      </c>
      <c r="G917">
        <v>91.44</v>
      </c>
      <c r="H917">
        <v>2026</v>
      </c>
    </row>
    <row r="918" spans="1:8" hidden="1" x14ac:dyDescent="0.25">
      <c r="A918">
        <v>218</v>
      </c>
      <c r="B918" t="s">
        <v>936</v>
      </c>
      <c r="C918" t="s">
        <v>153</v>
      </c>
      <c r="D918" t="s">
        <v>154</v>
      </c>
      <c r="E918" s="1">
        <v>46098</v>
      </c>
      <c r="F918" t="s">
        <v>11</v>
      </c>
      <c r="G918">
        <v>80.95</v>
      </c>
      <c r="H918">
        <v>2026</v>
      </c>
    </row>
    <row r="919" spans="1:8" hidden="1" x14ac:dyDescent="0.25">
      <c r="A919">
        <v>234</v>
      </c>
      <c r="B919" t="s">
        <v>937</v>
      </c>
      <c r="C919" t="s">
        <v>153</v>
      </c>
      <c r="D919" t="s">
        <v>154</v>
      </c>
      <c r="E919" s="1">
        <v>46097</v>
      </c>
      <c r="F919" t="s">
        <v>11</v>
      </c>
      <c r="G919">
        <v>90.45</v>
      </c>
      <c r="H919">
        <v>2026</v>
      </c>
    </row>
    <row r="920" spans="1:8" hidden="1" x14ac:dyDescent="0.25">
      <c r="A920">
        <v>263</v>
      </c>
      <c r="B920" t="s">
        <v>938</v>
      </c>
      <c r="C920" t="s">
        <v>9</v>
      </c>
      <c r="D920" t="s">
        <v>10</v>
      </c>
      <c r="E920" s="1">
        <v>46135</v>
      </c>
      <c r="F920" t="s">
        <v>11</v>
      </c>
      <c r="G920">
        <v>77.95</v>
      </c>
      <c r="H920">
        <v>2026</v>
      </c>
    </row>
    <row r="921" spans="1:8" x14ac:dyDescent="0.25">
      <c r="A921">
        <v>266</v>
      </c>
      <c r="B921" t="s">
        <v>939</v>
      </c>
      <c r="C921" t="s">
        <v>156</v>
      </c>
      <c r="D921" t="s">
        <v>157</v>
      </c>
      <c r="E921" s="1">
        <v>46059</v>
      </c>
      <c r="F921" t="s">
        <v>11</v>
      </c>
      <c r="G921">
        <v>86.85</v>
      </c>
      <c r="H921">
        <v>2026</v>
      </c>
    </row>
    <row r="922" spans="1:8" hidden="1" x14ac:dyDescent="0.25">
      <c r="A922">
        <v>272</v>
      </c>
      <c r="B922" t="s">
        <v>940</v>
      </c>
      <c r="C922" t="s">
        <v>153</v>
      </c>
      <c r="D922" t="s">
        <v>154</v>
      </c>
      <c r="E922" s="1">
        <v>46049</v>
      </c>
      <c r="F922" t="s">
        <v>11</v>
      </c>
      <c r="G922">
        <v>75.13</v>
      </c>
      <c r="H922">
        <v>2026</v>
      </c>
    </row>
    <row r="923" spans="1:8" x14ac:dyDescent="0.25">
      <c r="A923">
        <v>282</v>
      </c>
      <c r="B923" t="s">
        <v>941</v>
      </c>
      <c r="C923" t="s">
        <v>156</v>
      </c>
      <c r="D923" t="s">
        <v>157</v>
      </c>
      <c r="E923" s="1">
        <v>46051</v>
      </c>
      <c r="F923" t="s">
        <v>11</v>
      </c>
      <c r="G923">
        <v>91.96</v>
      </c>
      <c r="H923">
        <v>2026</v>
      </c>
    </row>
    <row r="924" spans="1:8" hidden="1" x14ac:dyDescent="0.25">
      <c r="A924">
        <v>283</v>
      </c>
      <c r="B924" t="s">
        <v>942</v>
      </c>
      <c r="C924" t="s">
        <v>9</v>
      </c>
      <c r="D924" t="s">
        <v>10</v>
      </c>
      <c r="E924" s="1">
        <v>46133</v>
      </c>
      <c r="F924" t="s">
        <v>11</v>
      </c>
      <c r="G924">
        <v>85.5</v>
      </c>
      <c r="H924">
        <v>2026</v>
      </c>
    </row>
    <row r="925" spans="1:8" x14ac:dyDescent="0.25">
      <c r="A925">
        <v>286</v>
      </c>
      <c r="B925" t="s">
        <v>943</v>
      </c>
      <c r="C925" t="s">
        <v>156</v>
      </c>
      <c r="D925" t="s">
        <v>157</v>
      </c>
      <c r="E925" s="1">
        <v>46087</v>
      </c>
      <c r="F925" t="s">
        <v>11</v>
      </c>
      <c r="G925">
        <v>88.13</v>
      </c>
      <c r="H925">
        <v>2026</v>
      </c>
    </row>
    <row r="926" spans="1:8" hidden="1" x14ac:dyDescent="0.25">
      <c r="A926">
        <v>294</v>
      </c>
      <c r="B926" t="s">
        <v>944</v>
      </c>
      <c r="C926" t="s">
        <v>9</v>
      </c>
      <c r="D926" t="s">
        <v>10</v>
      </c>
      <c r="E926" s="1">
        <v>46115</v>
      </c>
      <c r="F926" t="s">
        <v>11</v>
      </c>
      <c r="G926">
        <v>94.28</v>
      </c>
      <c r="H926">
        <v>2026</v>
      </c>
    </row>
    <row r="927" spans="1:8" hidden="1" x14ac:dyDescent="0.25">
      <c r="A927">
        <v>297</v>
      </c>
      <c r="B927" t="s">
        <v>945</v>
      </c>
      <c r="C927" t="s">
        <v>85</v>
      </c>
      <c r="D927" t="s">
        <v>86</v>
      </c>
      <c r="E927" s="1">
        <v>46146</v>
      </c>
      <c r="F927" t="s">
        <v>11</v>
      </c>
      <c r="G927">
        <v>91.51</v>
      </c>
      <c r="H927">
        <v>2026</v>
      </c>
    </row>
    <row r="928" spans="1:8" hidden="1" x14ac:dyDescent="0.25">
      <c r="A928">
        <v>310</v>
      </c>
      <c r="B928" t="s">
        <v>946</v>
      </c>
      <c r="C928" t="s">
        <v>9</v>
      </c>
      <c r="D928" t="s">
        <v>10</v>
      </c>
      <c r="E928" s="1">
        <v>46090</v>
      </c>
      <c r="F928" t="s">
        <v>11</v>
      </c>
      <c r="G928">
        <v>70.319999999999993</v>
      </c>
      <c r="H928">
        <v>2026</v>
      </c>
    </row>
    <row r="929" spans="1:8" hidden="1" x14ac:dyDescent="0.25">
      <c r="A929">
        <v>320</v>
      </c>
      <c r="B929" t="s">
        <v>947</v>
      </c>
      <c r="C929" t="s">
        <v>85</v>
      </c>
      <c r="D929" t="s">
        <v>86</v>
      </c>
      <c r="E929" s="1">
        <v>46067</v>
      </c>
      <c r="F929" t="s">
        <v>11</v>
      </c>
      <c r="G929">
        <v>71.75</v>
      </c>
      <c r="H929">
        <v>2026</v>
      </c>
    </row>
    <row r="930" spans="1:8" x14ac:dyDescent="0.25">
      <c r="A930">
        <v>338</v>
      </c>
      <c r="B930" t="s">
        <v>948</v>
      </c>
      <c r="C930" t="s">
        <v>156</v>
      </c>
      <c r="D930" t="s">
        <v>157</v>
      </c>
      <c r="E930" s="1">
        <v>46025</v>
      </c>
      <c r="F930" t="s">
        <v>11</v>
      </c>
      <c r="G930">
        <v>87.81</v>
      </c>
      <c r="H930">
        <v>2026</v>
      </c>
    </row>
    <row r="931" spans="1:8" hidden="1" x14ac:dyDescent="0.25">
      <c r="A931">
        <v>354</v>
      </c>
      <c r="B931" t="s">
        <v>949</v>
      </c>
      <c r="C931" t="s">
        <v>9</v>
      </c>
      <c r="D931" t="s">
        <v>10</v>
      </c>
      <c r="E931" s="1">
        <v>46136</v>
      </c>
      <c r="F931" t="s">
        <v>11</v>
      </c>
      <c r="G931">
        <v>94.14</v>
      </c>
      <c r="H931">
        <v>2026</v>
      </c>
    </row>
    <row r="932" spans="1:8" x14ac:dyDescent="0.25">
      <c r="A932">
        <v>355</v>
      </c>
      <c r="B932" t="s">
        <v>950</v>
      </c>
      <c r="C932" t="s">
        <v>156</v>
      </c>
      <c r="D932" t="s">
        <v>157</v>
      </c>
      <c r="E932" s="1">
        <v>46071</v>
      </c>
      <c r="F932" t="s">
        <v>11</v>
      </c>
      <c r="G932">
        <v>99.62</v>
      </c>
      <c r="H932">
        <v>2026</v>
      </c>
    </row>
    <row r="933" spans="1:8" hidden="1" x14ac:dyDescent="0.25">
      <c r="A933">
        <v>357</v>
      </c>
      <c r="B933" t="s">
        <v>951</v>
      </c>
      <c r="C933" t="s">
        <v>9</v>
      </c>
      <c r="D933" t="s">
        <v>10</v>
      </c>
      <c r="E933" s="1">
        <v>46088</v>
      </c>
      <c r="F933" t="s">
        <v>11</v>
      </c>
      <c r="G933">
        <v>94.55</v>
      </c>
      <c r="H933">
        <v>2026</v>
      </c>
    </row>
    <row r="934" spans="1:8" hidden="1" x14ac:dyDescent="0.25">
      <c r="A934">
        <v>358</v>
      </c>
      <c r="B934" t="s">
        <v>952</v>
      </c>
      <c r="C934" t="s">
        <v>153</v>
      </c>
      <c r="D934" t="s">
        <v>154</v>
      </c>
      <c r="E934" s="1">
        <v>46110</v>
      </c>
      <c r="F934" t="s">
        <v>11</v>
      </c>
      <c r="G934">
        <v>96.85</v>
      </c>
      <c r="H934">
        <v>2026</v>
      </c>
    </row>
    <row r="935" spans="1:8" hidden="1" x14ac:dyDescent="0.25">
      <c r="A935">
        <v>363</v>
      </c>
      <c r="B935" t="s">
        <v>953</v>
      </c>
      <c r="C935" t="s">
        <v>153</v>
      </c>
      <c r="D935" t="s">
        <v>154</v>
      </c>
      <c r="E935" s="1">
        <v>46043</v>
      </c>
      <c r="F935" t="s">
        <v>11</v>
      </c>
      <c r="G935">
        <v>93.04</v>
      </c>
      <c r="H935">
        <v>2026</v>
      </c>
    </row>
    <row r="936" spans="1:8" hidden="1" x14ac:dyDescent="0.25">
      <c r="A936">
        <v>371</v>
      </c>
      <c r="B936" t="s">
        <v>954</v>
      </c>
      <c r="C936" t="s">
        <v>85</v>
      </c>
      <c r="D936" t="s">
        <v>86</v>
      </c>
      <c r="E936" s="1">
        <v>46075</v>
      </c>
      <c r="F936" t="s">
        <v>11</v>
      </c>
      <c r="G936">
        <v>84.28</v>
      </c>
      <c r="H936">
        <v>2026</v>
      </c>
    </row>
    <row r="937" spans="1:8" hidden="1" x14ac:dyDescent="0.25">
      <c r="A937">
        <v>392</v>
      </c>
      <c r="B937" t="s">
        <v>955</v>
      </c>
      <c r="C937" t="s">
        <v>9</v>
      </c>
      <c r="D937" t="s">
        <v>10</v>
      </c>
      <c r="E937" s="1">
        <v>46095</v>
      </c>
      <c r="F937" t="s">
        <v>11</v>
      </c>
      <c r="G937">
        <v>91.04</v>
      </c>
      <c r="H937">
        <v>2026</v>
      </c>
    </row>
    <row r="938" spans="1:8" hidden="1" x14ac:dyDescent="0.25">
      <c r="A938">
        <v>404</v>
      </c>
      <c r="B938" t="s">
        <v>956</v>
      </c>
      <c r="C938" t="s">
        <v>85</v>
      </c>
      <c r="D938" t="s">
        <v>86</v>
      </c>
      <c r="E938" s="1">
        <v>46123</v>
      </c>
      <c r="F938" t="s">
        <v>11</v>
      </c>
      <c r="G938">
        <v>74.959999999999994</v>
      </c>
      <c r="H938">
        <v>2026</v>
      </c>
    </row>
    <row r="939" spans="1:8" x14ac:dyDescent="0.25">
      <c r="A939">
        <v>405</v>
      </c>
      <c r="B939" t="s">
        <v>957</v>
      </c>
      <c r="C939" t="s">
        <v>156</v>
      </c>
      <c r="D939" t="s">
        <v>157</v>
      </c>
      <c r="E939" s="1">
        <v>46134</v>
      </c>
      <c r="F939" t="s">
        <v>11</v>
      </c>
      <c r="G939">
        <v>89.14</v>
      </c>
      <c r="H939">
        <v>2026</v>
      </c>
    </row>
    <row r="940" spans="1:8" hidden="1" x14ac:dyDescent="0.25">
      <c r="A940">
        <v>406</v>
      </c>
      <c r="B940" t="s">
        <v>958</v>
      </c>
      <c r="C940" t="s">
        <v>9</v>
      </c>
      <c r="D940" t="s">
        <v>10</v>
      </c>
      <c r="E940" s="1">
        <v>46081</v>
      </c>
      <c r="F940" t="s">
        <v>11</v>
      </c>
      <c r="G940">
        <v>77.92</v>
      </c>
      <c r="H940">
        <v>2026</v>
      </c>
    </row>
    <row r="941" spans="1:8" x14ac:dyDescent="0.25">
      <c r="A941">
        <v>414</v>
      </c>
      <c r="B941" t="s">
        <v>959</v>
      </c>
      <c r="C941" t="s">
        <v>156</v>
      </c>
      <c r="D941" t="s">
        <v>157</v>
      </c>
      <c r="E941" s="1">
        <v>46053</v>
      </c>
      <c r="F941" t="s">
        <v>11</v>
      </c>
      <c r="G941">
        <v>77.349999999999994</v>
      </c>
      <c r="H941">
        <v>2026</v>
      </c>
    </row>
    <row r="942" spans="1:8" hidden="1" x14ac:dyDescent="0.25">
      <c r="A942">
        <v>439</v>
      </c>
      <c r="B942" t="s">
        <v>960</v>
      </c>
      <c r="C942" t="s">
        <v>85</v>
      </c>
      <c r="D942" t="s">
        <v>86</v>
      </c>
      <c r="E942" s="1">
        <v>46038</v>
      </c>
      <c r="F942" t="s">
        <v>11</v>
      </c>
      <c r="G942">
        <v>90.84</v>
      </c>
      <c r="H942">
        <v>2026</v>
      </c>
    </row>
    <row r="943" spans="1:8" hidden="1" x14ac:dyDescent="0.25">
      <c r="A943">
        <v>442</v>
      </c>
      <c r="B943" t="s">
        <v>961</v>
      </c>
      <c r="C943" t="s">
        <v>85</v>
      </c>
      <c r="D943" t="s">
        <v>86</v>
      </c>
      <c r="E943" s="1">
        <v>46092</v>
      </c>
      <c r="F943" t="s">
        <v>11</v>
      </c>
      <c r="G943">
        <v>71.05</v>
      </c>
      <c r="H943">
        <v>2026</v>
      </c>
    </row>
    <row r="944" spans="1:8" hidden="1" x14ac:dyDescent="0.25">
      <c r="A944">
        <v>448</v>
      </c>
      <c r="B944" t="s">
        <v>962</v>
      </c>
      <c r="C944" t="s">
        <v>9</v>
      </c>
      <c r="D944" t="s">
        <v>10</v>
      </c>
      <c r="E944" s="1">
        <v>46075</v>
      </c>
      <c r="F944" t="s">
        <v>11</v>
      </c>
      <c r="G944">
        <v>98.71</v>
      </c>
      <c r="H944">
        <v>2026</v>
      </c>
    </row>
    <row r="945" spans="1:8" x14ac:dyDescent="0.25">
      <c r="A945">
        <v>450</v>
      </c>
      <c r="B945" t="s">
        <v>963</v>
      </c>
      <c r="C945" t="s">
        <v>156</v>
      </c>
      <c r="D945" t="s">
        <v>157</v>
      </c>
      <c r="E945" s="1">
        <v>46146</v>
      </c>
      <c r="F945" t="s">
        <v>11</v>
      </c>
      <c r="G945">
        <v>92.03</v>
      </c>
      <c r="H945">
        <v>2026</v>
      </c>
    </row>
    <row r="946" spans="1:8" hidden="1" x14ac:dyDescent="0.25">
      <c r="A946">
        <v>488</v>
      </c>
      <c r="B946" t="s">
        <v>964</v>
      </c>
      <c r="C946" t="s">
        <v>9</v>
      </c>
      <c r="D946" t="s">
        <v>10</v>
      </c>
      <c r="E946" s="1">
        <v>46092</v>
      </c>
      <c r="F946" t="s">
        <v>11</v>
      </c>
      <c r="G946">
        <v>72.239999999999995</v>
      </c>
      <c r="H946">
        <v>2026</v>
      </c>
    </row>
    <row r="947" spans="1:8" hidden="1" x14ac:dyDescent="0.25">
      <c r="A947">
        <v>489</v>
      </c>
      <c r="B947" t="s">
        <v>965</v>
      </c>
      <c r="C947" t="s">
        <v>9</v>
      </c>
      <c r="D947" t="s">
        <v>10</v>
      </c>
      <c r="E947" s="1">
        <v>46125</v>
      </c>
      <c r="F947" t="s">
        <v>11</v>
      </c>
      <c r="G947">
        <v>81.17</v>
      </c>
      <c r="H947">
        <v>2026</v>
      </c>
    </row>
    <row r="948" spans="1:8" hidden="1" x14ac:dyDescent="0.25">
      <c r="A948">
        <v>490</v>
      </c>
      <c r="B948" t="s">
        <v>966</v>
      </c>
      <c r="C948" t="s">
        <v>9</v>
      </c>
      <c r="D948" t="s">
        <v>10</v>
      </c>
      <c r="E948" s="1">
        <v>46088</v>
      </c>
      <c r="F948" t="s">
        <v>11</v>
      </c>
      <c r="G948">
        <v>79.37</v>
      </c>
      <c r="H948">
        <v>2026</v>
      </c>
    </row>
    <row r="949" spans="1:8" hidden="1" x14ac:dyDescent="0.25">
      <c r="A949">
        <v>497</v>
      </c>
      <c r="B949" t="s">
        <v>967</v>
      </c>
      <c r="C949" t="s">
        <v>153</v>
      </c>
      <c r="D949" t="s">
        <v>154</v>
      </c>
      <c r="E949" s="1">
        <v>46089</v>
      </c>
      <c r="F949" t="s">
        <v>11</v>
      </c>
      <c r="G949">
        <v>97.49</v>
      </c>
      <c r="H949">
        <v>2026</v>
      </c>
    </row>
    <row r="950" spans="1:8" hidden="1" x14ac:dyDescent="0.25">
      <c r="A950">
        <v>502</v>
      </c>
      <c r="B950" t="s">
        <v>968</v>
      </c>
      <c r="C950" t="s">
        <v>153</v>
      </c>
      <c r="D950" t="s">
        <v>154</v>
      </c>
      <c r="E950" s="1">
        <v>46047</v>
      </c>
      <c r="F950" t="s">
        <v>11</v>
      </c>
      <c r="G950">
        <v>80.27</v>
      </c>
      <c r="H950">
        <v>2026</v>
      </c>
    </row>
    <row r="951" spans="1:8" x14ac:dyDescent="0.25">
      <c r="A951">
        <v>514</v>
      </c>
      <c r="B951" t="s">
        <v>969</v>
      </c>
      <c r="C951" t="s">
        <v>156</v>
      </c>
      <c r="D951" t="s">
        <v>157</v>
      </c>
      <c r="E951" s="1">
        <v>46138</v>
      </c>
      <c r="F951" t="s">
        <v>11</v>
      </c>
      <c r="G951">
        <v>91.99</v>
      </c>
      <c r="H951">
        <v>2026</v>
      </c>
    </row>
    <row r="952" spans="1:8" x14ac:dyDescent="0.25">
      <c r="A952">
        <v>515</v>
      </c>
      <c r="B952" t="s">
        <v>970</v>
      </c>
      <c r="C952" t="s">
        <v>156</v>
      </c>
      <c r="D952" t="s">
        <v>157</v>
      </c>
      <c r="E952" s="1">
        <v>46057</v>
      </c>
      <c r="F952" t="s">
        <v>11</v>
      </c>
      <c r="G952">
        <v>78.760000000000005</v>
      </c>
      <c r="H952">
        <v>2026</v>
      </c>
    </row>
    <row r="953" spans="1:8" hidden="1" x14ac:dyDescent="0.25">
      <c r="A953">
        <v>552</v>
      </c>
      <c r="B953" t="s">
        <v>971</v>
      </c>
      <c r="C953" t="s">
        <v>153</v>
      </c>
      <c r="D953" t="s">
        <v>154</v>
      </c>
      <c r="E953" s="1">
        <v>46144</v>
      </c>
      <c r="F953" t="s">
        <v>11</v>
      </c>
      <c r="G953">
        <v>80.09</v>
      </c>
      <c r="H953">
        <v>2026</v>
      </c>
    </row>
    <row r="954" spans="1:8" hidden="1" x14ac:dyDescent="0.25">
      <c r="A954">
        <v>559</v>
      </c>
      <c r="B954" t="s">
        <v>972</v>
      </c>
      <c r="C954" t="s">
        <v>9</v>
      </c>
      <c r="D954" t="s">
        <v>10</v>
      </c>
      <c r="E954" s="1">
        <v>46062</v>
      </c>
      <c r="F954" t="s">
        <v>11</v>
      </c>
      <c r="G954">
        <v>90.66</v>
      </c>
      <c r="H954">
        <v>2026</v>
      </c>
    </row>
    <row r="955" spans="1:8" hidden="1" x14ac:dyDescent="0.25">
      <c r="A955">
        <v>578</v>
      </c>
      <c r="B955" t="s">
        <v>973</v>
      </c>
      <c r="C955" t="s">
        <v>9</v>
      </c>
      <c r="D955" t="s">
        <v>10</v>
      </c>
      <c r="E955" s="1">
        <v>46111</v>
      </c>
      <c r="F955" t="s">
        <v>11</v>
      </c>
      <c r="G955">
        <v>91.7</v>
      </c>
      <c r="H955">
        <v>2026</v>
      </c>
    </row>
    <row r="956" spans="1:8" x14ac:dyDescent="0.25">
      <c r="A956">
        <v>586</v>
      </c>
      <c r="B956" t="s">
        <v>974</v>
      </c>
      <c r="C956" t="s">
        <v>156</v>
      </c>
      <c r="D956" t="s">
        <v>157</v>
      </c>
      <c r="E956" s="1">
        <v>46119</v>
      </c>
      <c r="F956" t="s">
        <v>11</v>
      </c>
      <c r="G956">
        <v>82.11</v>
      </c>
      <c r="H956">
        <v>2026</v>
      </c>
    </row>
    <row r="957" spans="1:8" hidden="1" x14ac:dyDescent="0.25">
      <c r="A957">
        <v>599</v>
      </c>
      <c r="B957" t="s">
        <v>975</v>
      </c>
      <c r="C957" t="s">
        <v>153</v>
      </c>
      <c r="D957" t="s">
        <v>154</v>
      </c>
      <c r="E957" s="1">
        <v>46133</v>
      </c>
      <c r="F957" t="s">
        <v>11</v>
      </c>
      <c r="G957">
        <v>78.38</v>
      </c>
      <c r="H957">
        <v>2026</v>
      </c>
    </row>
    <row r="958" spans="1:8" hidden="1" x14ac:dyDescent="0.25">
      <c r="A958">
        <v>610</v>
      </c>
      <c r="B958" t="s">
        <v>976</v>
      </c>
      <c r="C958" t="s">
        <v>153</v>
      </c>
      <c r="D958" t="s">
        <v>154</v>
      </c>
      <c r="E958" s="1">
        <v>46121</v>
      </c>
      <c r="F958" t="s">
        <v>11</v>
      </c>
      <c r="G958">
        <v>85.87</v>
      </c>
      <c r="H958">
        <v>2026</v>
      </c>
    </row>
    <row r="959" spans="1:8" hidden="1" x14ac:dyDescent="0.25">
      <c r="A959">
        <v>631</v>
      </c>
      <c r="B959" t="s">
        <v>977</v>
      </c>
      <c r="C959" t="s">
        <v>9</v>
      </c>
      <c r="D959" t="s">
        <v>10</v>
      </c>
      <c r="E959" s="1">
        <v>46136</v>
      </c>
      <c r="F959" t="s">
        <v>11</v>
      </c>
      <c r="G959">
        <v>85.39</v>
      </c>
      <c r="H959">
        <v>2026</v>
      </c>
    </row>
    <row r="960" spans="1:8" hidden="1" x14ac:dyDescent="0.25">
      <c r="A960">
        <v>646</v>
      </c>
      <c r="B960" t="s">
        <v>978</v>
      </c>
      <c r="C960" t="s">
        <v>9</v>
      </c>
      <c r="D960" t="s">
        <v>10</v>
      </c>
      <c r="E960" s="1">
        <v>46130</v>
      </c>
      <c r="F960" t="s">
        <v>11</v>
      </c>
      <c r="G960">
        <v>76.09</v>
      </c>
      <c r="H960">
        <v>2026</v>
      </c>
    </row>
    <row r="961" spans="1:8" hidden="1" x14ac:dyDescent="0.25">
      <c r="A961">
        <v>649</v>
      </c>
      <c r="B961" t="s">
        <v>979</v>
      </c>
      <c r="C961" t="s">
        <v>153</v>
      </c>
      <c r="D961" t="s">
        <v>154</v>
      </c>
      <c r="E961" s="1">
        <v>46045</v>
      </c>
      <c r="F961" t="s">
        <v>11</v>
      </c>
      <c r="G961">
        <v>91.36</v>
      </c>
      <c r="H961">
        <v>2026</v>
      </c>
    </row>
    <row r="962" spans="1:8" hidden="1" x14ac:dyDescent="0.25">
      <c r="A962">
        <v>676</v>
      </c>
      <c r="B962" t="s">
        <v>980</v>
      </c>
      <c r="C962" t="s">
        <v>153</v>
      </c>
      <c r="D962" t="s">
        <v>154</v>
      </c>
      <c r="E962" s="1">
        <v>46065</v>
      </c>
      <c r="F962" t="s">
        <v>11</v>
      </c>
      <c r="G962">
        <v>85.14</v>
      </c>
      <c r="H962">
        <v>2026</v>
      </c>
    </row>
    <row r="963" spans="1:8" hidden="1" x14ac:dyDescent="0.25">
      <c r="A963">
        <v>694</v>
      </c>
      <c r="B963" t="s">
        <v>981</v>
      </c>
      <c r="C963" t="s">
        <v>85</v>
      </c>
      <c r="D963" t="s">
        <v>86</v>
      </c>
      <c r="E963" s="1">
        <v>46141</v>
      </c>
      <c r="F963" t="s">
        <v>11</v>
      </c>
      <c r="G963">
        <v>75.08</v>
      </c>
      <c r="H963">
        <v>2026</v>
      </c>
    </row>
    <row r="964" spans="1:8" x14ac:dyDescent="0.25">
      <c r="A964">
        <v>697</v>
      </c>
      <c r="B964" t="s">
        <v>982</v>
      </c>
      <c r="C964" t="s">
        <v>156</v>
      </c>
      <c r="D964" t="s">
        <v>157</v>
      </c>
      <c r="E964" s="1">
        <v>46124</v>
      </c>
      <c r="F964" t="s">
        <v>11</v>
      </c>
      <c r="G964">
        <v>93.39</v>
      </c>
      <c r="H964">
        <v>2026</v>
      </c>
    </row>
    <row r="965" spans="1:8" hidden="1" x14ac:dyDescent="0.25">
      <c r="A965">
        <v>714</v>
      </c>
      <c r="B965" t="s">
        <v>983</v>
      </c>
      <c r="C965" t="s">
        <v>9</v>
      </c>
      <c r="D965" t="s">
        <v>10</v>
      </c>
      <c r="E965" s="1">
        <v>46025</v>
      </c>
      <c r="F965" t="s">
        <v>11</v>
      </c>
      <c r="G965">
        <v>84.81</v>
      </c>
      <c r="H965">
        <v>2026</v>
      </c>
    </row>
    <row r="966" spans="1:8" hidden="1" x14ac:dyDescent="0.25">
      <c r="A966">
        <v>721</v>
      </c>
      <c r="B966" t="s">
        <v>984</v>
      </c>
      <c r="C966" t="s">
        <v>85</v>
      </c>
      <c r="D966" t="s">
        <v>86</v>
      </c>
      <c r="E966" s="1">
        <v>46067</v>
      </c>
      <c r="F966" t="s">
        <v>11</v>
      </c>
      <c r="G966">
        <v>70.180000000000007</v>
      </c>
      <c r="H966">
        <v>2026</v>
      </c>
    </row>
    <row r="967" spans="1:8" hidden="1" x14ac:dyDescent="0.25">
      <c r="A967">
        <v>764</v>
      </c>
      <c r="B967" t="s">
        <v>985</v>
      </c>
      <c r="C967" t="s">
        <v>153</v>
      </c>
      <c r="D967" t="s">
        <v>154</v>
      </c>
      <c r="E967" s="1">
        <v>46148</v>
      </c>
      <c r="F967" t="s">
        <v>11</v>
      </c>
      <c r="G967">
        <v>89.55</v>
      </c>
      <c r="H967">
        <v>2026</v>
      </c>
    </row>
    <row r="968" spans="1:8" x14ac:dyDescent="0.25">
      <c r="A968">
        <v>775</v>
      </c>
      <c r="B968" t="s">
        <v>986</v>
      </c>
      <c r="C968" t="s">
        <v>156</v>
      </c>
      <c r="D968" t="s">
        <v>157</v>
      </c>
      <c r="E968" s="1">
        <v>46113</v>
      </c>
      <c r="F968" t="s">
        <v>11</v>
      </c>
      <c r="G968">
        <v>77.28</v>
      </c>
      <c r="H968">
        <v>2026</v>
      </c>
    </row>
    <row r="969" spans="1:8" x14ac:dyDescent="0.25">
      <c r="A969">
        <v>790</v>
      </c>
      <c r="B969" t="s">
        <v>987</v>
      </c>
      <c r="C969" t="s">
        <v>156</v>
      </c>
      <c r="D969" t="s">
        <v>157</v>
      </c>
      <c r="E969" s="1">
        <v>46128</v>
      </c>
      <c r="F969" t="s">
        <v>11</v>
      </c>
      <c r="G969">
        <v>98.14</v>
      </c>
      <c r="H969">
        <v>2026</v>
      </c>
    </row>
    <row r="970" spans="1:8" hidden="1" x14ac:dyDescent="0.25">
      <c r="A970">
        <v>819</v>
      </c>
      <c r="B970" t="s">
        <v>988</v>
      </c>
      <c r="C970" t="s">
        <v>9</v>
      </c>
      <c r="D970" t="s">
        <v>10</v>
      </c>
      <c r="E970" s="1">
        <v>46121</v>
      </c>
      <c r="F970" t="s">
        <v>11</v>
      </c>
      <c r="G970">
        <v>84.58</v>
      </c>
      <c r="H970">
        <v>2026</v>
      </c>
    </row>
    <row r="971" spans="1:8" x14ac:dyDescent="0.25">
      <c r="A971">
        <v>830</v>
      </c>
      <c r="B971" t="s">
        <v>989</v>
      </c>
      <c r="C971" t="s">
        <v>156</v>
      </c>
      <c r="D971" t="s">
        <v>157</v>
      </c>
      <c r="E971" s="1">
        <v>46108</v>
      </c>
      <c r="F971" t="s">
        <v>11</v>
      </c>
      <c r="G971">
        <v>95</v>
      </c>
      <c r="H971">
        <v>2026</v>
      </c>
    </row>
    <row r="972" spans="1:8" hidden="1" x14ac:dyDescent="0.25">
      <c r="A972">
        <v>878</v>
      </c>
      <c r="B972" t="s">
        <v>990</v>
      </c>
      <c r="C972" t="s">
        <v>85</v>
      </c>
      <c r="D972" t="s">
        <v>86</v>
      </c>
      <c r="E972" s="1">
        <v>46119</v>
      </c>
      <c r="F972" t="s">
        <v>11</v>
      </c>
      <c r="G972">
        <v>89.49</v>
      </c>
      <c r="H972">
        <v>2026</v>
      </c>
    </row>
    <row r="973" spans="1:8" hidden="1" x14ac:dyDescent="0.25">
      <c r="A973">
        <v>880</v>
      </c>
      <c r="B973" t="s">
        <v>991</v>
      </c>
      <c r="C973" t="s">
        <v>85</v>
      </c>
      <c r="D973" t="s">
        <v>86</v>
      </c>
      <c r="E973" s="1">
        <v>46146</v>
      </c>
      <c r="F973" t="s">
        <v>11</v>
      </c>
      <c r="G973">
        <v>89.32</v>
      </c>
      <c r="H973">
        <v>2026</v>
      </c>
    </row>
    <row r="974" spans="1:8" hidden="1" x14ac:dyDescent="0.25">
      <c r="A974">
        <v>891</v>
      </c>
      <c r="B974" t="s">
        <v>992</v>
      </c>
      <c r="C974" t="s">
        <v>153</v>
      </c>
      <c r="D974" t="s">
        <v>154</v>
      </c>
      <c r="E974" s="1">
        <v>46036</v>
      </c>
      <c r="F974" t="s">
        <v>11</v>
      </c>
      <c r="G974">
        <v>82.78</v>
      </c>
      <c r="H974">
        <v>2026</v>
      </c>
    </row>
    <row r="975" spans="1:8" hidden="1" x14ac:dyDescent="0.25">
      <c r="A975">
        <v>893</v>
      </c>
      <c r="B975" t="s">
        <v>993</v>
      </c>
      <c r="C975" t="s">
        <v>85</v>
      </c>
      <c r="D975" t="s">
        <v>86</v>
      </c>
      <c r="E975" s="1">
        <v>46028</v>
      </c>
      <c r="F975" t="s">
        <v>11</v>
      </c>
      <c r="G975">
        <v>72.19</v>
      </c>
      <c r="H975">
        <v>2026</v>
      </c>
    </row>
    <row r="976" spans="1:8" hidden="1" x14ac:dyDescent="0.25">
      <c r="A976">
        <v>903</v>
      </c>
      <c r="B976" t="s">
        <v>994</v>
      </c>
      <c r="C976" t="s">
        <v>153</v>
      </c>
      <c r="D976" t="s">
        <v>154</v>
      </c>
      <c r="E976" s="1">
        <v>46095</v>
      </c>
      <c r="F976" t="s">
        <v>11</v>
      </c>
      <c r="G976">
        <v>99.12</v>
      </c>
      <c r="H976">
        <v>2026</v>
      </c>
    </row>
    <row r="977" spans="1:8" x14ac:dyDescent="0.25">
      <c r="A977">
        <v>908</v>
      </c>
      <c r="B977" t="s">
        <v>995</v>
      </c>
      <c r="C977" t="s">
        <v>156</v>
      </c>
      <c r="D977" t="s">
        <v>157</v>
      </c>
      <c r="E977" s="1">
        <v>46101</v>
      </c>
      <c r="F977" t="s">
        <v>11</v>
      </c>
      <c r="G977">
        <v>82.57</v>
      </c>
      <c r="H977">
        <v>2026</v>
      </c>
    </row>
    <row r="978" spans="1:8" hidden="1" x14ac:dyDescent="0.25">
      <c r="A978">
        <v>915</v>
      </c>
      <c r="B978" t="s">
        <v>996</v>
      </c>
      <c r="C978" t="s">
        <v>85</v>
      </c>
      <c r="D978" t="s">
        <v>86</v>
      </c>
      <c r="E978" s="1">
        <v>46120</v>
      </c>
      <c r="F978" t="s">
        <v>11</v>
      </c>
      <c r="G978">
        <v>95.15</v>
      </c>
      <c r="H978">
        <v>2026</v>
      </c>
    </row>
    <row r="979" spans="1:8" hidden="1" x14ac:dyDescent="0.25">
      <c r="A979">
        <v>920</v>
      </c>
      <c r="B979" t="s">
        <v>997</v>
      </c>
      <c r="C979" t="s">
        <v>9</v>
      </c>
      <c r="D979" t="s">
        <v>10</v>
      </c>
      <c r="E979" s="1">
        <v>46094</v>
      </c>
      <c r="F979" t="s">
        <v>11</v>
      </c>
      <c r="G979">
        <v>76.56</v>
      </c>
      <c r="H979">
        <v>2026</v>
      </c>
    </row>
    <row r="980" spans="1:8" hidden="1" x14ac:dyDescent="0.25">
      <c r="A980">
        <v>923</v>
      </c>
      <c r="B980" t="s">
        <v>998</v>
      </c>
      <c r="C980" t="s">
        <v>9</v>
      </c>
      <c r="D980" t="s">
        <v>10</v>
      </c>
      <c r="E980" s="1">
        <v>46038</v>
      </c>
      <c r="F980" t="s">
        <v>11</v>
      </c>
      <c r="G980">
        <v>80.010000000000005</v>
      </c>
      <c r="H980">
        <v>2026</v>
      </c>
    </row>
    <row r="981" spans="1:8" hidden="1" x14ac:dyDescent="0.25">
      <c r="A981">
        <v>932</v>
      </c>
      <c r="B981" t="s">
        <v>999</v>
      </c>
      <c r="C981" t="s">
        <v>85</v>
      </c>
      <c r="D981" t="s">
        <v>86</v>
      </c>
      <c r="E981" s="1">
        <v>46095</v>
      </c>
      <c r="F981" t="s">
        <v>11</v>
      </c>
      <c r="G981">
        <v>98.06</v>
      </c>
      <c r="H981">
        <v>2026</v>
      </c>
    </row>
    <row r="982" spans="1:8" hidden="1" x14ac:dyDescent="0.25">
      <c r="A982">
        <v>956</v>
      </c>
      <c r="B982" t="s">
        <v>1000</v>
      </c>
      <c r="C982" t="s">
        <v>9</v>
      </c>
      <c r="D982" t="s">
        <v>10</v>
      </c>
      <c r="E982" s="1">
        <v>46072</v>
      </c>
      <c r="F982" t="s">
        <v>11</v>
      </c>
      <c r="G982">
        <v>70.13</v>
      </c>
      <c r="H982">
        <v>2026</v>
      </c>
    </row>
    <row r="983" spans="1:8" x14ac:dyDescent="0.25">
      <c r="A983">
        <v>959</v>
      </c>
      <c r="B983" t="s">
        <v>1001</v>
      </c>
      <c r="C983" t="s">
        <v>156</v>
      </c>
      <c r="D983" t="s">
        <v>157</v>
      </c>
      <c r="E983" s="1">
        <v>46096</v>
      </c>
      <c r="F983" t="s">
        <v>11</v>
      </c>
      <c r="G983">
        <v>73.77</v>
      </c>
      <c r="H983">
        <v>2026</v>
      </c>
    </row>
    <row r="984" spans="1:8" hidden="1" x14ac:dyDescent="0.25">
      <c r="A984">
        <v>961</v>
      </c>
      <c r="B984" t="s">
        <v>1002</v>
      </c>
      <c r="C984" t="s">
        <v>9</v>
      </c>
      <c r="D984" t="s">
        <v>10</v>
      </c>
      <c r="E984" s="1">
        <v>46103</v>
      </c>
      <c r="F984" t="s">
        <v>11</v>
      </c>
      <c r="G984">
        <v>80.650000000000006</v>
      </c>
      <c r="H984">
        <v>2026</v>
      </c>
    </row>
    <row r="985" spans="1:8" hidden="1" x14ac:dyDescent="0.25">
      <c r="A985">
        <v>974</v>
      </c>
      <c r="B985" t="s">
        <v>1003</v>
      </c>
      <c r="C985" t="s">
        <v>85</v>
      </c>
      <c r="D985" t="s">
        <v>86</v>
      </c>
      <c r="E985" s="1">
        <v>46052</v>
      </c>
      <c r="F985" t="s">
        <v>11</v>
      </c>
      <c r="G985">
        <v>77.89</v>
      </c>
      <c r="H985">
        <v>2026</v>
      </c>
    </row>
    <row r="986" spans="1:8" hidden="1" x14ac:dyDescent="0.25">
      <c r="A986">
        <v>977</v>
      </c>
      <c r="B986" t="s">
        <v>1004</v>
      </c>
      <c r="C986" t="s">
        <v>153</v>
      </c>
      <c r="D986" t="s">
        <v>154</v>
      </c>
      <c r="E986" s="1">
        <v>46124</v>
      </c>
      <c r="F986" t="s">
        <v>11</v>
      </c>
      <c r="G986">
        <v>72.739999999999995</v>
      </c>
      <c r="H986">
        <v>2026</v>
      </c>
    </row>
    <row r="987" spans="1:8" hidden="1" x14ac:dyDescent="0.25">
      <c r="A987">
        <v>983</v>
      </c>
      <c r="B987" t="s">
        <v>1005</v>
      </c>
      <c r="C987" t="s">
        <v>85</v>
      </c>
      <c r="D987" t="s">
        <v>86</v>
      </c>
      <c r="E987" s="1">
        <v>46117</v>
      </c>
      <c r="F987" t="s">
        <v>11</v>
      </c>
      <c r="G987">
        <v>91.2</v>
      </c>
      <c r="H987">
        <v>2026</v>
      </c>
    </row>
    <row r="988" spans="1:8" hidden="1" x14ac:dyDescent="0.25">
      <c r="A988">
        <v>14</v>
      </c>
      <c r="B988" t="s">
        <v>1006</v>
      </c>
      <c r="C988" t="s">
        <v>153</v>
      </c>
      <c r="D988" t="s">
        <v>154</v>
      </c>
      <c r="E988" s="1">
        <v>45655</v>
      </c>
      <c r="F988" t="s">
        <v>270</v>
      </c>
      <c r="G988">
        <v>91.03</v>
      </c>
      <c r="H988">
        <v>2024</v>
      </c>
    </row>
    <row r="989" spans="1:8" hidden="1" x14ac:dyDescent="0.25">
      <c r="A989">
        <v>84</v>
      </c>
      <c r="B989" t="s">
        <v>1007</v>
      </c>
      <c r="C989" t="s">
        <v>153</v>
      </c>
      <c r="D989" t="s">
        <v>154</v>
      </c>
      <c r="E989" s="1">
        <v>45654</v>
      </c>
      <c r="F989" t="s">
        <v>11</v>
      </c>
      <c r="G989">
        <v>75.02</v>
      </c>
      <c r="H989">
        <v>2024</v>
      </c>
    </row>
    <row r="990" spans="1:8" hidden="1" x14ac:dyDescent="0.25">
      <c r="A990">
        <v>159</v>
      </c>
      <c r="B990" t="s">
        <v>1008</v>
      </c>
      <c r="C990" t="s">
        <v>85</v>
      </c>
      <c r="D990" t="s">
        <v>86</v>
      </c>
      <c r="E990" s="1">
        <v>45655</v>
      </c>
      <c r="F990" t="s">
        <v>642</v>
      </c>
      <c r="G990">
        <v>86.78</v>
      </c>
      <c r="H990">
        <v>2024</v>
      </c>
    </row>
    <row r="991" spans="1:8" hidden="1" x14ac:dyDescent="0.25">
      <c r="A991">
        <v>268</v>
      </c>
      <c r="B991" t="s">
        <v>1009</v>
      </c>
      <c r="C991" t="s">
        <v>153</v>
      </c>
      <c r="D991" t="s">
        <v>154</v>
      </c>
      <c r="E991" s="1">
        <v>45657</v>
      </c>
      <c r="F991" t="s">
        <v>642</v>
      </c>
      <c r="G991">
        <v>95.05</v>
      </c>
      <c r="H991">
        <v>2024</v>
      </c>
    </row>
    <row r="992" spans="1:8" hidden="1" x14ac:dyDescent="0.25">
      <c r="A992">
        <v>308</v>
      </c>
      <c r="B992" t="s">
        <v>1010</v>
      </c>
      <c r="C992" t="s">
        <v>153</v>
      </c>
      <c r="D992" t="s">
        <v>154</v>
      </c>
      <c r="E992" s="1">
        <v>45655</v>
      </c>
      <c r="F992" t="s">
        <v>642</v>
      </c>
      <c r="G992">
        <v>90.05</v>
      </c>
      <c r="H992">
        <v>2024</v>
      </c>
    </row>
    <row r="993" spans="1:8" x14ac:dyDescent="0.25">
      <c r="A993">
        <v>334</v>
      </c>
      <c r="B993" t="s">
        <v>1011</v>
      </c>
      <c r="C993" t="s">
        <v>156</v>
      </c>
      <c r="D993" t="s">
        <v>157</v>
      </c>
      <c r="E993" s="1">
        <v>45653</v>
      </c>
      <c r="F993" t="s">
        <v>471</v>
      </c>
      <c r="G993">
        <v>81.03</v>
      </c>
      <c r="H993">
        <v>2024</v>
      </c>
    </row>
    <row r="994" spans="1:8" x14ac:dyDescent="0.25">
      <c r="A994">
        <v>453</v>
      </c>
      <c r="B994" t="s">
        <v>1012</v>
      </c>
      <c r="C994" t="s">
        <v>156</v>
      </c>
      <c r="D994" t="s">
        <v>157</v>
      </c>
      <c r="E994" s="1">
        <v>45651</v>
      </c>
      <c r="F994" t="s">
        <v>471</v>
      </c>
      <c r="G994">
        <v>75.790000000000006</v>
      </c>
      <c r="H994">
        <v>2024</v>
      </c>
    </row>
    <row r="995" spans="1:8" hidden="1" x14ac:dyDescent="0.25">
      <c r="A995">
        <v>464</v>
      </c>
      <c r="B995" t="s">
        <v>1013</v>
      </c>
      <c r="C995" t="s">
        <v>85</v>
      </c>
      <c r="D995" t="s">
        <v>86</v>
      </c>
      <c r="E995" s="1">
        <v>45650</v>
      </c>
      <c r="F995" t="s">
        <v>11</v>
      </c>
      <c r="G995">
        <v>90.86</v>
      </c>
      <c r="H995">
        <v>2024</v>
      </c>
    </row>
    <row r="996" spans="1:8" x14ac:dyDescent="0.25">
      <c r="A996">
        <v>603</v>
      </c>
      <c r="B996" t="s">
        <v>1014</v>
      </c>
      <c r="C996" t="s">
        <v>156</v>
      </c>
      <c r="D996" t="s">
        <v>157</v>
      </c>
      <c r="E996" s="1">
        <v>45656</v>
      </c>
      <c r="F996" t="s">
        <v>11</v>
      </c>
      <c r="G996">
        <v>86.92</v>
      </c>
      <c r="H996">
        <v>2024</v>
      </c>
    </row>
    <row r="997" spans="1:8" hidden="1" x14ac:dyDescent="0.25">
      <c r="A997">
        <v>620</v>
      </c>
      <c r="B997" t="s">
        <v>1015</v>
      </c>
      <c r="C997" t="s">
        <v>85</v>
      </c>
      <c r="D997" t="s">
        <v>86</v>
      </c>
      <c r="E997" s="1">
        <v>45656</v>
      </c>
      <c r="F997" t="s">
        <v>270</v>
      </c>
      <c r="G997">
        <v>90.48</v>
      </c>
      <c r="H997">
        <v>2024</v>
      </c>
    </row>
    <row r="998" spans="1:8" hidden="1" x14ac:dyDescent="0.25">
      <c r="A998">
        <v>705</v>
      </c>
      <c r="B998" t="s">
        <v>1016</v>
      </c>
      <c r="C998" t="s">
        <v>153</v>
      </c>
      <c r="D998" t="s">
        <v>154</v>
      </c>
      <c r="E998" s="1">
        <v>45653</v>
      </c>
      <c r="F998" t="s">
        <v>11</v>
      </c>
      <c r="G998">
        <v>70.91</v>
      </c>
      <c r="H998">
        <v>2024</v>
      </c>
    </row>
    <row r="999" spans="1:8" x14ac:dyDescent="0.25">
      <c r="A999">
        <v>743</v>
      </c>
      <c r="B999" t="s">
        <v>1017</v>
      </c>
      <c r="C999" t="s">
        <v>156</v>
      </c>
      <c r="D999" t="s">
        <v>157</v>
      </c>
      <c r="E999" s="1">
        <v>45654</v>
      </c>
      <c r="F999" t="s">
        <v>270</v>
      </c>
      <c r="G999">
        <v>94.45</v>
      </c>
      <c r="H999">
        <v>2024</v>
      </c>
    </row>
    <row r="1000" spans="1:8" x14ac:dyDescent="0.25">
      <c r="A1000">
        <v>757</v>
      </c>
      <c r="B1000" t="s">
        <v>1018</v>
      </c>
      <c r="C1000" t="s">
        <v>156</v>
      </c>
      <c r="D1000" t="s">
        <v>157</v>
      </c>
      <c r="E1000" s="1">
        <v>45649</v>
      </c>
      <c r="F1000" t="s">
        <v>642</v>
      </c>
      <c r="G1000">
        <v>83.03</v>
      </c>
      <c r="H1000">
        <v>2024</v>
      </c>
    </row>
    <row r="1001" spans="1:8" x14ac:dyDescent="0.25">
      <c r="A1001">
        <v>868</v>
      </c>
      <c r="B1001" t="s">
        <v>1019</v>
      </c>
      <c r="C1001" t="s">
        <v>156</v>
      </c>
      <c r="D1001" t="s">
        <v>157</v>
      </c>
      <c r="E1001" s="1">
        <v>45655</v>
      </c>
      <c r="F1001" t="s">
        <v>270</v>
      </c>
      <c r="G1001">
        <v>77.87</v>
      </c>
      <c r="H1001">
        <v>2024</v>
      </c>
    </row>
  </sheetData>
  <pageMargins left="0.25" right="0.25" top="0.75" bottom="0.75" header="0.3" footer="0.3"/>
  <pageSetup paperSize="2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B0AA-3EC1-4386-9C65-8DCFC2AA16AE}">
  <dimension ref="A1:D9"/>
  <sheetViews>
    <sheetView workbookViewId="0">
      <selection activeCell="B5" sqref="B5"/>
    </sheetView>
  </sheetViews>
  <sheetFormatPr baseColWidth="10" defaultRowHeight="15" x14ac:dyDescent="0.25"/>
  <cols>
    <col min="1" max="1" width="10.5703125" bestFit="1" customWidth="1"/>
    <col min="2" max="2" width="20.5703125" bestFit="1" customWidth="1"/>
    <col min="3" max="3" width="19.7109375" bestFit="1" customWidth="1"/>
    <col min="4" max="4" width="15.7109375" bestFit="1" customWidth="1"/>
  </cols>
  <sheetData>
    <row r="1" spans="1:4" x14ac:dyDescent="0.25">
      <c r="A1" t="s">
        <v>1020</v>
      </c>
      <c r="B1" t="s">
        <v>1</v>
      </c>
      <c r="C1" t="s">
        <v>1021</v>
      </c>
      <c r="D1" t="s">
        <v>1022</v>
      </c>
    </row>
    <row r="2" spans="1:4" x14ac:dyDescent="0.25">
      <c r="A2">
        <v>1</v>
      </c>
      <c r="B2" t="s">
        <v>154</v>
      </c>
      <c r="C2">
        <v>500000</v>
      </c>
      <c r="D2" s="2">
        <v>46149.219526813271</v>
      </c>
    </row>
    <row r="3" spans="1:4" x14ac:dyDescent="0.25">
      <c r="A3">
        <v>2</v>
      </c>
      <c r="B3" t="s">
        <v>86</v>
      </c>
      <c r="C3">
        <v>300000</v>
      </c>
      <c r="D3" s="2">
        <v>46149.219526813271</v>
      </c>
    </row>
    <row r="4" spans="1:4" x14ac:dyDescent="0.25">
      <c r="A4">
        <v>3</v>
      </c>
      <c r="B4" t="s">
        <v>157</v>
      </c>
      <c r="C4">
        <v>450000</v>
      </c>
      <c r="D4" s="2">
        <v>46149.219526813271</v>
      </c>
    </row>
    <row r="5" spans="1:4" x14ac:dyDescent="0.25">
      <c r="A5">
        <v>4</v>
      </c>
      <c r="B5" t="s">
        <v>10</v>
      </c>
      <c r="C5">
        <v>250000</v>
      </c>
      <c r="D5" s="2">
        <v>46149.219526813271</v>
      </c>
    </row>
    <row r="6" spans="1:4" x14ac:dyDescent="0.25">
      <c r="A6">
        <v>5</v>
      </c>
      <c r="B6" t="s">
        <v>1023</v>
      </c>
      <c r="C6">
        <v>800000</v>
      </c>
      <c r="D6" s="2">
        <v>46149.221235493824</v>
      </c>
    </row>
    <row r="7" spans="1:4" x14ac:dyDescent="0.25">
      <c r="A7">
        <v>6</v>
      </c>
      <c r="B7" t="s">
        <v>1024</v>
      </c>
      <c r="C7">
        <v>200000</v>
      </c>
      <c r="D7" s="2">
        <v>46149.221235493824</v>
      </c>
    </row>
    <row r="8" spans="1:4" x14ac:dyDescent="0.25">
      <c r="A8">
        <v>7</v>
      </c>
      <c r="B8" t="s">
        <v>1025</v>
      </c>
      <c r="C8">
        <v>450000</v>
      </c>
      <c r="D8" s="2">
        <v>46149.221235493824</v>
      </c>
    </row>
    <row r="9" spans="1:4" x14ac:dyDescent="0.25">
      <c r="A9">
        <v>8</v>
      </c>
      <c r="B9" t="s">
        <v>1026</v>
      </c>
      <c r="C9">
        <v>150000</v>
      </c>
      <c r="D9" s="2">
        <v>46149.221235493824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B7B3-6613-4620-BD13-7008372412CA}">
  <dimension ref="A1:K1050"/>
  <sheetViews>
    <sheetView tabSelected="1" topLeftCell="A54" zoomScaleNormal="100" workbookViewId="0">
      <selection activeCell="G82" sqref="G82"/>
    </sheetView>
  </sheetViews>
  <sheetFormatPr baseColWidth="10" defaultRowHeight="15" x14ac:dyDescent="0.25"/>
  <cols>
    <col min="1" max="1" width="20.5703125" style="9" bestFit="1" customWidth="1"/>
    <col min="2" max="2" width="29.85546875" style="9" bestFit="1" customWidth="1"/>
    <col min="3" max="3" width="25.85546875" style="9" bestFit="1" customWidth="1"/>
    <col min="4" max="4" width="22.5703125" style="9" bestFit="1" customWidth="1"/>
    <col min="5" max="5" width="15" style="9" bestFit="1" customWidth="1"/>
    <col min="6" max="6" width="12.5703125" style="9" bestFit="1" customWidth="1"/>
    <col min="7" max="7" width="20" bestFit="1" customWidth="1"/>
    <col min="8" max="8" width="13.140625" bestFit="1" customWidth="1"/>
    <col min="9" max="9" width="20.7109375" bestFit="1" customWidth="1"/>
    <col min="10" max="10" width="12.5703125" bestFit="1" customWidth="1"/>
    <col min="11" max="12" width="22.42578125" bestFit="1" customWidth="1"/>
    <col min="13" max="13" width="12.5703125" bestFit="1" customWidth="1"/>
    <col min="14" max="14" width="25.5703125" bestFit="1" customWidth="1"/>
    <col min="15" max="15" width="15" bestFit="1" customWidth="1"/>
    <col min="16" max="16" width="18.140625" bestFit="1" customWidth="1"/>
    <col min="17" max="17" width="9.85546875" bestFit="1" customWidth="1"/>
    <col min="18" max="18" width="17.5703125" bestFit="1" customWidth="1"/>
    <col min="19" max="19" width="19.42578125" bestFit="1" customWidth="1"/>
    <col min="20" max="20" width="17" bestFit="1" customWidth="1"/>
    <col min="21" max="21" width="20.140625" bestFit="1" customWidth="1"/>
    <col min="22" max="22" width="22.42578125" bestFit="1" customWidth="1"/>
    <col min="23" max="23" width="25.5703125" bestFit="1" customWidth="1"/>
    <col min="24" max="24" width="15" bestFit="1" customWidth="1"/>
    <col min="25" max="25" width="18.140625" bestFit="1" customWidth="1"/>
    <col min="26" max="26" width="9.85546875" bestFit="1" customWidth="1"/>
    <col min="27" max="27" width="12.5703125" bestFit="1" customWidth="1"/>
    <col min="28" max="1000" width="22.42578125" bestFit="1" customWidth="1"/>
    <col min="1001" max="1001" width="12.5703125" bestFit="1" customWidth="1"/>
  </cols>
  <sheetData>
    <row r="1" spans="1:11" x14ac:dyDescent="0.25">
      <c r="A1" s="23" t="s">
        <v>1046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8" t="s">
        <v>0</v>
      </c>
      <c r="B2" s="9" t="s" vm="1">
        <v>1030</v>
      </c>
      <c r="D2" t="s">
        <v>1051</v>
      </c>
      <c r="H2" s="14"/>
      <c r="I2" s="14"/>
      <c r="J2" s="14"/>
    </row>
    <row r="3" spans="1:11" x14ac:dyDescent="0.25">
      <c r="H3" s="15"/>
      <c r="I3" s="16"/>
      <c r="J3" s="17"/>
    </row>
    <row r="4" spans="1:11" x14ac:dyDescent="0.25">
      <c r="A4" s="8" t="s">
        <v>1031</v>
      </c>
      <c r="B4" s="8" t="s">
        <v>1027</v>
      </c>
    </row>
    <row r="5" spans="1:11" x14ac:dyDescent="0.25">
      <c r="B5" s="9" t="s">
        <v>157</v>
      </c>
      <c r="C5" s="9" t="s">
        <v>86</v>
      </c>
      <c r="D5" s="9" t="s">
        <v>154</v>
      </c>
      <c r="E5" s="9" t="s">
        <v>10</v>
      </c>
      <c r="F5" s="9" t="s">
        <v>1028</v>
      </c>
      <c r="H5" s="14"/>
      <c r="I5" s="18" t="s">
        <v>1034</v>
      </c>
      <c r="J5" s="18"/>
    </row>
    <row r="6" spans="1:11" x14ac:dyDescent="0.25">
      <c r="A6" s="8" t="s">
        <v>1029</v>
      </c>
      <c r="B6" s="9" t="s">
        <v>156</v>
      </c>
      <c r="C6" s="9" t="s">
        <v>85</v>
      </c>
      <c r="D6" s="9" t="s">
        <v>153</v>
      </c>
      <c r="E6" s="9" t="s">
        <v>9</v>
      </c>
      <c r="I6" s="5" t="s">
        <v>1033</v>
      </c>
      <c r="J6" s="4">
        <f>COUNTA(VW_Alumnos_Normalizados[AlumnoID])</f>
        <v>1000</v>
      </c>
      <c r="K6" t="s">
        <v>1039</v>
      </c>
    </row>
    <row r="7" spans="1:11" x14ac:dyDescent="0.25">
      <c r="A7" s="9">
        <v>2024</v>
      </c>
      <c r="B7" s="10"/>
      <c r="C7" s="10"/>
      <c r="D7" s="10"/>
      <c r="E7" s="10"/>
      <c r="F7" s="10"/>
      <c r="I7" s="5" t="s">
        <v>1037</v>
      </c>
      <c r="J7" s="6">
        <f>AVERAGE(VW_Alumnos_Normalizados[PromedioHistorico])</f>
        <v>84.935529999999929</v>
      </c>
      <c r="K7" t="s">
        <v>1040</v>
      </c>
    </row>
    <row r="8" spans="1:11" x14ac:dyDescent="0.25">
      <c r="A8" s="9" t="s">
        <v>11</v>
      </c>
      <c r="B8" s="10">
        <v>86.92</v>
      </c>
      <c r="C8" s="10">
        <v>90.86</v>
      </c>
      <c r="D8" s="10">
        <v>72.965000000000003</v>
      </c>
      <c r="E8" s="10"/>
      <c r="F8" s="10">
        <v>80.927499999999995</v>
      </c>
      <c r="I8" s="5" t="s">
        <v>1032</v>
      </c>
      <c r="J8" s="7">
        <f>SUM(Departamentos[PresupuestoAnual])</f>
        <v>3100000</v>
      </c>
    </row>
    <row r="9" spans="1:11" x14ac:dyDescent="0.25">
      <c r="A9" s="9" t="s">
        <v>642</v>
      </c>
      <c r="B9" s="10">
        <v>83.03</v>
      </c>
      <c r="C9" s="10">
        <v>86.78</v>
      </c>
      <c r="D9" s="10">
        <v>92.55</v>
      </c>
      <c r="E9" s="10"/>
      <c r="F9" s="10">
        <v>88.727500000000006</v>
      </c>
    </row>
    <row r="10" spans="1:11" x14ac:dyDescent="0.25">
      <c r="A10" s="9" t="s">
        <v>270</v>
      </c>
      <c r="B10" s="10">
        <v>86.16</v>
      </c>
      <c r="C10" s="10">
        <v>90.48</v>
      </c>
      <c r="D10" s="10">
        <v>91.03</v>
      </c>
      <c r="E10" s="10"/>
      <c r="F10" s="10">
        <v>88.457499999999996</v>
      </c>
    </row>
    <row r="11" spans="1:11" x14ac:dyDescent="0.25">
      <c r="A11" s="9" t="s">
        <v>471</v>
      </c>
      <c r="B11" s="10">
        <v>78.41</v>
      </c>
      <c r="C11" s="10"/>
      <c r="D11" s="10"/>
      <c r="E11" s="10"/>
      <c r="F11" s="10">
        <v>78.41</v>
      </c>
      <c r="I11" s="18" t="s">
        <v>1035</v>
      </c>
      <c r="J11" s="18"/>
    </row>
    <row r="12" spans="1:11" x14ac:dyDescent="0.25">
      <c r="A12" s="9">
        <v>2025</v>
      </c>
      <c r="B12" s="10"/>
      <c r="C12" s="10"/>
      <c r="D12" s="10"/>
      <c r="E12" s="10"/>
      <c r="F12" s="10"/>
      <c r="I12" s="4" t="s">
        <v>3</v>
      </c>
      <c r="J12" t="s">
        <v>1036</v>
      </c>
    </row>
    <row r="13" spans="1:11" x14ac:dyDescent="0.25">
      <c r="A13" s="9" t="s">
        <v>11</v>
      </c>
      <c r="B13" s="10">
        <v>83.765333333333331</v>
      </c>
      <c r="C13" s="10">
        <v>84.546818181818182</v>
      </c>
      <c r="D13" s="10">
        <v>85.478679245283018</v>
      </c>
      <c r="E13" s="10">
        <v>86.355342465753424</v>
      </c>
      <c r="F13" s="10">
        <v>85.080634920634921</v>
      </c>
      <c r="I13" s="5" t="s">
        <v>154</v>
      </c>
      <c r="J13">
        <f>COUNTIF(VW_Alumnos_Normalizados[Facultad],$D$5)</f>
        <v>230</v>
      </c>
    </row>
    <row r="14" spans="1:11" x14ac:dyDescent="0.25">
      <c r="A14" s="9" t="s">
        <v>642</v>
      </c>
      <c r="B14" s="10">
        <v>84.576428571428565</v>
      </c>
      <c r="C14" s="10">
        <v>86.865925925925936</v>
      </c>
      <c r="D14" s="10">
        <v>83.150434782608698</v>
      </c>
      <c r="E14" s="10">
        <v>84.828928571428577</v>
      </c>
      <c r="F14" s="10">
        <v>84.916886792452829</v>
      </c>
      <c r="I14" s="5" t="s">
        <v>86</v>
      </c>
      <c r="J14">
        <f>COUNTIF(VW_Alumnos_Normalizados[Facultad],$C$5)</f>
        <v>242</v>
      </c>
    </row>
    <row r="15" spans="1:11" x14ac:dyDescent="0.25">
      <c r="A15" s="9" t="s">
        <v>270</v>
      </c>
      <c r="B15" s="10">
        <v>86.288372093023256</v>
      </c>
      <c r="C15" s="10">
        <v>83.559215686274513</v>
      </c>
      <c r="D15" s="10">
        <v>86.250238095238103</v>
      </c>
      <c r="E15" s="10">
        <v>83.631874999999994</v>
      </c>
      <c r="F15" s="10">
        <v>84.734349999999992</v>
      </c>
      <c r="I15" s="5" t="s">
        <v>157</v>
      </c>
      <c r="J15">
        <f>COUNTIF(VW_Alumnos_Normalizados[Facultad],$B$5)</f>
        <v>242</v>
      </c>
    </row>
    <row r="16" spans="1:11" x14ac:dyDescent="0.25">
      <c r="A16" s="9" t="s">
        <v>471</v>
      </c>
      <c r="B16" s="10">
        <v>85.006595744680851</v>
      </c>
      <c r="C16" s="10">
        <v>84.509473684210533</v>
      </c>
      <c r="D16" s="10">
        <v>82.973170731707313</v>
      </c>
      <c r="E16" s="10">
        <v>84.19431818181819</v>
      </c>
      <c r="F16" s="10">
        <v>84.194823529411764</v>
      </c>
      <c r="I16" s="5" t="s">
        <v>10</v>
      </c>
      <c r="J16">
        <f>COUNTIF(VW_Alumnos_Normalizados[Facultad],$E$5)</f>
        <v>286</v>
      </c>
    </row>
    <row r="17" spans="1:6" x14ac:dyDescent="0.25">
      <c r="A17" s="9">
        <v>2026</v>
      </c>
      <c r="B17" s="10"/>
      <c r="C17" s="10"/>
      <c r="D17" s="10"/>
      <c r="E17" s="10"/>
      <c r="F17" s="10"/>
    </row>
    <row r="18" spans="1:6" x14ac:dyDescent="0.25">
      <c r="A18" s="9" t="s">
        <v>11</v>
      </c>
      <c r="B18" s="10">
        <v>88.375217391304346</v>
      </c>
      <c r="C18" s="10">
        <v>83.342500000000001</v>
      </c>
      <c r="D18" s="10">
        <v>85.401666666666671</v>
      </c>
      <c r="E18" s="10">
        <v>84.931538461538452</v>
      </c>
      <c r="F18" s="10">
        <v>85.573908045977021</v>
      </c>
    </row>
    <row r="19" spans="1:6" x14ac:dyDescent="0.25">
      <c r="A19" s="9" t="s">
        <v>642</v>
      </c>
      <c r="B19" s="10">
        <v>86.44</v>
      </c>
      <c r="C19" s="10">
        <v>81.693333333333342</v>
      </c>
      <c r="D19" s="10">
        <v>83.018124999999998</v>
      </c>
      <c r="E19" s="10">
        <v>85.328000000000003</v>
      </c>
      <c r="F19" s="10">
        <v>83.819166666666661</v>
      </c>
    </row>
    <row r="20" spans="1:6" x14ac:dyDescent="0.25">
      <c r="A20" s="9" t="s">
        <v>270</v>
      </c>
      <c r="B20" s="10">
        <v>86.350624999999994</v>
      </c>
      <c r="C20" s="10">
        <v>82.449047619047619</v>
      </c>
      <c r="D20" s="10">
        <v>85.068235294117656</v>
      </c>
      <c r="E20" s="10">
        <v>86.309583333333322</v>
      </c>
      <c r="F20" s="10">
        <v>85.008076923076928</v>
      </c>
    </row>
    <row r="21" spans="1:6" x14ac:dyDescent="0.25">
      <c r="A21" s="9" t="s">
        <v>471</v>
      </c>
      <c r="B21" s="10">
        <v>86.161333333333332</v>
      </c>
      <c r="C21" s="10">
        <v>88.212000000000003</v>
      </c>
      <c r="D21" s="10">
        <v>85.151333333333326</v>
      </c>
      <c r="E21" s="10">
        <v>88.229411764705887</v>
      </c>
      <c r="F21" s="10">
        <v>86.872105263157891</v>
      </c>
    </row>
    <row r="22" spans="1:6" x14ac:dyDescent="0.25">
      <c r="A22" s="9" t="s">
        <v>1028</v>
      </c>
      <c r="B22" s="10">
        <v>85.335867768595037</v>
      </c>
      <c r="C22" s="10">
        <v>84.450537190082642</v>
      </c>
      <c r="D22" s="10">
        <v>84.688043478260866</v>
      </c>
      <c r="E22" s="10">
        <v>85.206188811188809</v>
      </c>
      <c r="F22" s="10">
        <v>84.93553</v>
      </c>
    </row>
    <row r="23" spans="1:6" x14ac:dyDescent="0.25">
      <c r="B23" s="10"/>
      <c r="C23" s="10"/>
      <c r="D23" s="10"/>
      <c r="E23" s="10"/>
      <c r="F23" s="10"/>
    </row>
    <row r="24" spans="1:6" x14ac:dyDescent="0.25">
      <c r="A24" s="20" t="s">
        <v>1044</v>
      </c>
    </row>
    <row r="25" spans="1:6" x14ac:dyDescent="0.25">
      <c r="A25" s="12" t="s">
        <v>1041</v>
      </c>
      <c r="B25" s="12" t="s">
        <v>1027</v>
      </c>
      <c r="C25"/>
      <c r="D25"/>
      <c r="E25"/>
      <c r="F25"/>
    </row>
    <row r="26" spans="1:6" x14ac:dyDescent="0.25">
      <c r="A26"/>
      <c r="B26" t="s">
        <v>157</v>
      </c>
      <c r="C26" t="s">
        <v>86</v>
      </c>
      <c r="D26" t="s">
        <v>154</v>
      </c>
      <c r="E26" t="s">
        <v>10</v>
      </c>
      <c r="F26" t="s">
        <v>1028</v>
      </c>
    </row>
    <row r="27" spans="1:6" x14ac:dyDescent="0.25">
      <c r="A27" s="12" t="s">
        <v>1029</v>
      </c>
      <c r="B27" t="s">
        <v>156</v>
      </c>
      <c r="C27" t="s">
        <v>85</v>
      </c>
      <c r="D27" t="s">
        <v>153</v>
      </c>
      <c r="E27" t="s">
        <v>9</v>
      </c>
      <c r="F27"/>
    </row>
    <row r="28" spans="1:6" x14ac:dyDescent="0.25">
      <c r="A28" s="13" t="s">
        <v>11</v>
      </c>
      <c r="B28" s="21">
        <v>41636</v>
      </c>
      <c r="C28" s="21">
        <v>45628</v>
      </c>
      <c r="D28" s="21">
        <v>35736</v>
      </c>
      <c r="E28" s="21">
        <v>46134</v>
      </c>
      <c r="F28" s="21">
        <v>169134</v>
      </c>
    </row>
    <row r="29" spans="1:6" x14ac:dyDescent="0.25">
      <c r="A29" s="13" t="s">
        <v>642</v>
      </c>
      <c r="B29" s="21">
        <v>16578</v>
      </c>
      <c r="C29" s="21">
        <v>14440</v>
      </c>
      <c r="D29" s="21">
        <v>19244</v>
      </c>
      <c r="E29" s="21">
        <v>20240</v>
      </c>
      <c r="F29" s="21">
        <v>70502</v>
      </c>
    </row>
    <row r="30" spans="1:6" x14ac:dyDescent="0.25">
      <c r="A30" s="13" t="s">
        <v>270</v>
      </c>
      <c r="B30" s="21">
        <v>30472</v>
      </c>
      <c r="C30" s="21">
        <v>36625</v>
      </c>
      <c r="D30" s="21">
        <v>30772</v>
      </c>
      <c r="E30" s="21">
        <v>43010</v>
      </c>
      <c r="F30" s="21">
        <v>140879</v>
      </c>
    </row>
    <row r="31" spans="1:6" x14ac:dyDescent="0.25">
      <c r="A31" s="13" t="s">
        <v>471</v>
      </c>
      <c r="B31" s="21">
        <v>33897</v>
      </c>
      <c r="C31" s="21">
        <v>27218</v>
      </c>
      <c r="D31" s="21">
        <v>28242</v>
      </c>
      <c r="E31" s="21">
        <v>30628</v>
      </c>
      <c r="F31" s="21">
        <v>119985</v>
      </c>
    </row>
    <row r="32" spans="1:6" x14ac:dyDescent="0.25">
      <c r="A32" s="13" t="s">
        <v>1028</v>
      </c>
      <c r="B32" s="21">
        <v>122583</v>
      </c>
      <c r="C32" s="21">
        <v>123911</v>
      </c>
      <c r="D32" s="21">
        <v>113994</v>
      </c>
      <c r="E32" s="21">
        <v>140012</v>
      </c>
      <c r="F32" s="21">
        <v>500500</v>
      </c>
    </row>
    <row r="33" spans="1:11" x14ac:dyDescent="0.25">
      <c r="A33"/>
      <c r="B33"/>
      <c r="C33"/>
    </row>
    <row r="34" spans="1:11" x14ac:dyDescent="0.25">
      <c r="A34" s="20" t="s">
        <v>1043</v>
      </c>
      <c r="B34"/>
      <c r="C34"/>
    </row>
    <row r="35" spans="1:11" x14ac:dyDescent="0.25">
      <c r="A35" s="12" t="s">
        <v>1029</v>
      </c>
      <c r="B35" t="s">
        <v>1045</v>
      </c>
      <c r="C35"/>
      <c r="D35"/>
      <c r="E35"/>
      <c r="F35"/>
    </row>
    <row r="36" spans="1:11" x14ac:dyDescent="0.25">
      <c r="A36" s="13" t="s">
        <v>157</v>
      </c>
      <c r="B36" s="22">
        <v>450000</v>
      </c>
      <c r="C36"/>
      <c r="D36"/>
      <c r="E36"/>
      <c r="F36"/>
    </row>
    <row r="37" spans="1:11" x14ac:dyDescent="0.25">
      <c r="A37" s="13" t="s">
        <v>86</v>
      </c>
      <c r="B37" s="22">
        <v>300000</v>
      </c>
      <c r="C37"/>
      <c r="D37"/>
      <c r="E37"/>
      <c r="F37"/>
    </row>
    <row r="38" spans="1:11" x14ac:dyDescent="0.25">
      <c r="A38" s="13" t="s">
        <v>1024</v>
      </c>
      <c r="B38" s="22">
        <v>200000</v>
      </c>
      <c r="C38"/>
      <c r="D38"/>
      <c r="E38"/>
      <c r="F38"/>
    </row>
    <row r="39" spans="1:11" x14ac:dyDescent="0.25">
      <c r="A39" s="13" t="s">
        <v>1025</v>
      </c>
      <c r="B39" s="22">
        <v>450000</v>
      </c>
      <c r="C39"/>
      <c r="D39"/>
      <c r="E39"/>
      <c r="F39"/>
    </row>
    <row r="40" spans="1:11" x14ac:dyDescent="0.25">
      <c r="A40" s="13" t="s">
        <v>154</v>
      </c>
      <c r="B40" s="22">
        <v>500000</v>
      </c>
      <c r="C40"/>
      <c r="D40"/>
      <c r="E40"/>
      <c r="F40"/>
    </row>
    <row r="41" spans="1:11" x14ac:dyDescent="0.25">
      <c r="A41" s="13" t="s">
        <v>1023</v>
      </c>
      <c r="B41" s="22">
        <v>800000</v>
      </c>
      <c r="C41"/>
      <c r="D41"/>
      <c r="E41"/>
      <c r="F41"/>
    </row>
    <row r="42" spans="1:11" x14ac:dyDescent="0.25">
      <c r="A42" s="13" t="s">
        <v>10</v>
      </c>
      <c r="B42" s="22">
        <v>250000</v>
      </c>
      <c r="C42"/>
      <c r="D42"/>
      <c r="E42"/>
      <c r="F42"/>
    </row>
    <row r="43" spans="1:11" x14ac:dyDescent="0.25">
      <c r="A43" s="13" t="s">
        <v>1026</v>
      </c>
      <c r="B43" s="22">
        <v>150000</v>
      </c>
      <c r="C43"/>
      <c r="D43"/>
      <c r="E43"/>
      <c r="F43"/>
    </row>
    <row r="44" spans="1:11" x14ac:dyDescent="0.25">
      <c r="A44" s="13" t="s">
        <v>1028</v>
      </c>
      <c r="B44" s="22">
        <v>3100000</v>
      </c>
      <c r="C44"/>
      <c r="D44"/>
      <c r="E44"/>
      <c r="F44"/>
    </row>
    <row r="45" spans="1:11" x14ac:dyDescent="0.25">
      <c r="A45"/>
      <c r="B45"/>
      <c r="C45"/>
      <c r="D45"/>
      <c r="E45"/>
      <c r="F45"/>
    </row>
    <row r="46" spans="1:11" x14ac:dyDescent="0.25">
      <c r="A46" s="23" t="s">
        <v>1047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15.75" x14ac:dyDescent="0.25">
      <c r="A47" s="25" t="s">
        <v>1048</v>
      </c>
      <c r="B47"/>
      <c r="C47"/>
    </row>
    <row r="48" spans="1:11" x14ac:dyDescent="0.25">
      <c r="A48" s="12" t="s">
        <v>1029</v>
      </c>
      <c r="B48" t="s">
        <v>1042</v>
      </c>
      <c r="C48"/>
    </row>
    <row r="49" spans="1:11" x14ac:dyDescent="0.25">
      <c r="A49" s="13" t="s">
        <v>10</v>
      </c>
      <c r="B49" s="24">
        <v>286</v>
      </c>
      <c r="C49"/>
    </row>
    <row r="50" spans="1:11" x14ac:dyDescent="0.25">
      <c r="A50" s="13" t="s">
        <v>86</v>
      </c>
      <c r="B50" s="24">
        <v>242</v>
      </c>
      <c r="C50"/>
    </row>
    <row r="51" spans="1:11" x14ac:dyDescent="0.25">
      <c r="A51" s="13" t="s">
        <v>157</v>
      </c>
      <c r="B51" s="24">
        <v>242</v>
      </c>
      <c r="C51"/>
    </row>
    <row r="52" spans="1:11" x14ac:dyDescent="0.25">
      <c r="A52" s="13" t="s">
        <v>154</v>
      </c>
      <c r="B52" s="24">
        <v>230</v>
      </c>
      <c r="C52"/>
    </row>
    <row r="53" spans="1:11" x14ac:dyDescent="0.25">
      <c r="A53" s="13" t="s">
        <v>1028</v>
      </c>
      <c r="B53" s="24">
        <v>1000</v>
      </c>
      <c r="C53"/>
    </row>
    <row r="54" spans="1:11" x14ac:dyDescent="0.25">
      <c r="A54"/>
      <c r="B54"/>
      <c r="C54"/>
    </row>
    <row r="55" spans="1:11" x14ac:dyDescent="0.25">
      <c r="A55"/>
      <c r="B55"/>
      <c r="C55"/>
    </row>
    <row r="56" spans="1:11" x14ac:dyDescent="0.25">
      <c r="A56" s="23" t="s">
        <v>1049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5.75" x14ac:dyDescent="0.25">
      <c r="A57" s="25" t="s">
        <v>1050</v>
      </c>
      <c r="B57"/>
      <c r="C57"/>
    </row>
    <row r="58" spans="1:11" x14ac:dyDescent="0.25">
      <c r="A58" s="12" t="s">
        <v>1029</v>
      </c>
      <c r="B58" t="s">
        <v>1031</v>
      </c>
      <c r="C58"/>
    </row>
    <row r="59" spans="1:11" x14ac:dyDescent="0.25">
      <c r="A59" s="13" t="s">
        <v>157</v>
      </c>
      <c r="B59" s="26">
        <v>85.335867768595008</v>
      </c>
      <c r="C59"/>
    </row>
    <row r="60" spans="1:11" x14ac:dyDescent="0.25">
      <c r="A60" s="13" t="s">
        <v>10</v>
      </c>
      <c r="B60" s="26">
        <v>85.206188811188809</v>
      </c>
      <c r="C60"/>
    </row>
    <row r="61" spans="1:11" x14ac:dyDescent="0.25">
      <c r="A61" s="13" t="s">
        <v>154</v>
      </c>
      <c r="B61" s="26">
        <v>84.688043478260852</v>
      </c>
      <c r="C61"/>
    </row>
    <row r="62" spans="1:11" x14ac:dyDescent="0.25">
      <c r="A62" s="13" t="s">
        <v>86</v>
      </c>
      <c r="B62" s="26">
        <v>84.450537190082642</v>
      </c>
      <c r="C62"/>
    </row>
    <row r="63" spans="1:11" x14ac:dyDescent="0.25">
      <c r="A63" s="13" t="s">
        <v>1028</v>
      </c>
      <c r="B63" s="26">
        <v>84.935529999999957</v>
      </c>
      <c r="C63"/>
    </row>
    <row r="64" spans="1:11" x14ac:dyDescent="0.25">
      <c r="A64" s="13"/>
      <c r="B64" s="26"/>
      <c r="C64"/>
    </row>
    <row r="65" spans="1:11" x14ac:dyDescent="0.25">
      <c r="A65" s="23" t="s">
        <v>1052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15.75" x14ac:dyDescent="0.25">
      <c r="A66" s="25" t="s">
        <v>1053</v>
      </c>
      <c r="B66"/>
      <c r="C66"/>
    </row>
    <row r="67" spans="1:11" x14ac:dyDescent="0.25">
      <c r="A67" s="12" t="s">
        <v>1029</v>
      </c>
      <c r="B67" t="s">
        <v>1042</v>
      </c>
      <c r="C67"/>
    </row>
    <row r="68" spans="1:11" x14ac:dyDescent="0.25">
      <c r="A68" s="13">
        <v>2024</v>
      </c>
      <c r="B68" s="24">
        <v>14</v>
      </c>
      <c r="C68"/>
    </row>
    <row r="69" spans="1:11" x14ac:dyDescent="0.25">
      <c r="A69" s="13">
        <v>2025</v>
      </c>
      <c r="B69" s="24">
        <v>728</v>
      </c>
      <c r="C69"/>
    </row>
    <row r="70" spans="1:11" x14ac:dyDescent="0.25">
      <c r="A70" s="13">
        <v>2026</v>
      </c>
      <c r="B70" s="24">
        <v>258</v>
      </c>
      <c r="C70"/>
    </row>
    <row r="71" spans="1:11" x14ac:dyDescent="0.25">
      <c r="A71" s="13" t="s">
        <v>1028</v>
      </c>
      <c r="B71" s="24">
        <v>1000</v>
      </c>
      <c r="C71"/>
    </row>
    <row r="72" spans="1:11" x14ac:dyDescent="0.25">
      <c r="A72"/>
      <c r="B72"/>
      <c r="C72"/>
    </row>
    <row r="73" spans="1:11" x14ac:dyDescent="0.25">
      <c r="A73" s="23" t="s">
        <v>1054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15.75" x14ac:dyDescent="0.25">
      <c r="A74" s="25" t="s">
        <v>1055</v>
      </c>
      <c r="B74"/>
      <c r="C74"/>
    </row>
    <row r="75" spans="1:11" x14ac:dyDescent="0.25">
      <c r="A75"/>
      <c r="B75"/>
      <c r="C75"/>
    </row>
    <row r="76" spans="1:11" x14ac:dyDescent="0.25">
      <c r="A76" t="s">
        <v>3</v>
      </c>
      <c r="B76" s="27" t="s">
        <v>1056</v>
      </c>
      <c r="C76" s="27" t="s">
        <v>1057</v>
      </c>
    </row>
    <row r="77" spans="1:11" x14ac:dyDescent="0.25">
      <c r="A77" s="28" t="s">
        <v>154</v>
      </c>
      <c r="B77" s="9">
        <f>VLOOKUP(A77,$A$35:$B$43,2)</f>
        <v>500000</v>
      </c>
      <c r="C77" s="29">
        <f>+VLOOKUP(A77,$A$59:$B$62,2)</f>
        <v>85.335867768595008</v>
      </c>
    </row>
    <row r="78" spans="1:11" x14ac:dyDescent="0.25">
      <c r="A78" s="28" t="s">
        <v>86</v>
      </c>
      <c r="B78" s="9">
        <f t="shared" ref="B78:B80" si="0">VLOOKUP(A78,$A$35:$B$43,2)</f>
        <v>300000</v>
      </c>
      <c r="C78" s="29">
        <f>+VLOOKUP(A78,$A$59:$B$62,2)</f>
        <v>85.335867768595008</v>
      </c>
    </row>
    <row r="79" spans="1:11" x14ac:dyDescent="0.25">
      <c r="A79" s="28" t="s">
        <v>157</v>
      </c>
      <c r="B79" s="9">
        <f t="shared" si="0"/>
        <v>450000</v>
      </c>
      <c r="C79" s="29">
        <f t="shared" ref="C78:C80" si="1">+VLOOKUP(A79,$A$59:$B$62,2)</f>
        <v>85.335867768595008</v>
      </c>
    </row>
    <row r="80" spans="1:11" x14ac:dyDescent="0.25">
      <c r="A80" s="28" t="s">
        <v>10</v>
      </c>
      <c r="B80" s="9">
        <f t="shared" si="0"/>
        <v>250000</v>
      </c>
      <c r="C80" s="29">
        <f t="shared" si="1"/>
        <v>85.206188811188809</v>
      </c>
    </row>
    <row r="81" spans="1:7" x14ac:dyDescent="0.25">
      <c r="A81"/>
    </row>
    <row r="82" spans="1:7" x14ac:dyDescent="0.25">
      <c r="A82"/>
      <c r="G82" s="11"/>
    </row>
    <row r="83" spans="1:7" x14ac:dyDescent="0.25">
      <c r="A83"/>
    </row>
    <row r="84" spans="1:7" x14ac:dyDescent="0.25">
      <c r="A84"/>
    </row>
    <row r="85" spans="1:7" x14ac:dyDescent="0.25">
      <c r="A85"/>
    </row>
    <row r="86" spans="1:7" x14ac:dyDescent="0.25">
      <c r="A86"/>
    </row>
    <row r="87" spans="1:7" x14ac:dyDescent="0.25">
      <c r="A87"/>
    </row>
    <row r="88" spans="1:7" x14ac:dyDescent="0.25">
      <c r="A88"/>
    </row>
    <row r="89" spans="1:7" x14ac:dyDescent="0.25">
      <c r="A89"/>
    </row>
    <row r="90" spans="1:7" x14ac:dyDescent="0.25">
      <c r="A90"/>
    </row>
    <row r="91" spans="1:7" x14ac:dyDescent="0.25">
      <c r="A91"/>
    </row>
    <row r="92" spans="1:7" x14ac:dyDescent="0.25">
      <c r="A92"/>
    </row>
    <row r="93" spans="1:7" x14ac:dyDescent="0.25">
      <c r="A93"/>
    </row>
    <row r="94" spans="1:7" x14ac:dyDescent="0.25">
      <c r="A94"/>
    </row>
    <row r="95" spans="1:7" x14ac:dyDescent="0.25">
      <c r="A95"/>
    </row>
    <row r="96" spans="1:7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</sheetData>
  <mergeCells count="7">
    <mergeCell ref="A73:K73"/>
    <mergeCell ref="I5:J5"/>
    <mergeCell ref="I11:J11"/>
    <mergeCell ref="A1:K1"/>
    <mergeCell ref="A46:K46"/>
    <mergeCell ref="A56:K56"/>
    <mergeCell ref="A65:K65"/>
  </mergeCell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238-4564-4750-8621-E1E17AEAA2B8}">
  <dimension ref="A1:AK68"/>
  <sheetViews>
    <sheetView showGridLines="0" zoomScale="55" zoomScaleNormal="55" zoomScalePageLayoutView="40" workbookViewId="0">
      <selection activeCell="K18" sqref="K18"/>
    </sheetView>
  </sheetViews>
  <sheetFormatPr baseColWidth="10" defaultColWidth="0" defaultRowHeight="15" zeroHeight="1" x14ac:dyDescent="0.25"/>
  <cols>
    <col min="1" max="36" width="11.42578125" style="3" customWidth="1"/>
    <col min="37" max="43" width="11.42578125" style="3" hidden="1" customWidth="1"/>
    <col min="44" max="16384" width="11.42578125" style="3" hidden="1"/>
  </cols>
  <sheetData>
    <row r="1" spans="37:37" x14ac:dyDescent="0.25">
      <c r="AK1" s="19" t="s">
        <v>1038</v>
      </c>
    </row>
    <row r="2" spans="37:37" x14ac:dyDescent="0.25"/>
    <row r="3" spans="37:37" x14ac:dyDescent="0.25"/>
    <row r="4" spans="37:37" x14ac:dyDescent="0.25"/>
    <row r="5" spans="37:37" x14ac:dyDescent="0.25"/>
    <row r="6" spans="37:37" x14ac:dyDescent="0.25"/>
    <row r="7" spans="37:37" x14ac:dyDescent="0.25"/>
    <row r="8" spans="37:37" x14ac:dyDescent="0.25"/>
    <row r="9" spans="37:37" x14ac:dyDescent="0.25"/>
    <row r="10" spans="37:37" x14ac:dyDescent="0.25"/>
    <row r="11" spans="37:37" x14ac:dyDescent="0.25"/>
    <row r="12" spans="37:37" x14ac:dyDescent="0.25"/>
    <row r="13" spans="37:37" x14ac:dyDescent="0.25"/>
    <row r="14" spans="37:37" x14ac:dyDescent="0.25"/>
    <row r="15" spans="37:37" x14ac:dyDescent="0.25"/>
    <row r="16" spans="37:3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</sheetData>
  <pageMargins left="0.25" right="0.25" top="0.75" bottom="0.75" header="0.3" footer="0.3"/>
  <pageSetup paperSize="2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88929-C913-479B-A8FC-DAE4A9B95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VW_Alumnos_Normalizados</vt:lpstr>
      <vt:lpstr>Departamentos</vt:lpstr>
      <vt:lpstr>Calculos_KPI</vt:lpstr>
      <vt:lpstr>Dashboard_Escolar</vt:lpstr>
      <vt:lpstr>Dashboard_Escolar!Área_de_impresión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Dzib</dc:creator>
  <cp:lastModifiedBy>JESUS DZIB KU</cp:lastModifiedBy>
  <cp:lastPrinted>2026-05-08T22:56:42Z</cp:lastPrinted>
  <dcterms:created xsi:type="dcterms:W3CDTF">2015-06-05T18:19:34Z</dcterms:created>
  <dcterms:modified xsi:type="dcterms:W3CDTF">2026-05-09T01:26:30Z</dcterms:modified>
</cp:coreProperties>
</file>